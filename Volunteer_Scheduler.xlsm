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gabe/Desktop/Volunteer_Scheduler/"/>
    </mc:Choice>
  </mc:AlternateContent>
  <xr:revisionPtr revIDLastSave="0" documentId="13_ncr:1_{6783C5E3-1175-554E-B7C5-EA4BF85B1A2B}" xr6:coauthVersionLast="38" xr6:coauthVersionMax="38" xr10:uidLastSave="{00000000-0000-0000-0000-000000000000}"/>
  <bookViews>
    <workbookView xWindow="60" yWindow="460" windowWidth="28740" windowHeight="16120" xr2:uid="{00000000-000D-0000-FFFF-FFFF00000000}"/>
  </bookViews>
  <sheets>
    <sheet name="Schedule" sheetId="15" r:id="rId1"/>
    <sheet name="Assignment_Counter_" sheetId="27" r:id="rId2"/>
    <sheet name="Schedule_Checker" sheetId="38" r:id="rId3"/>
    <sheet name="Station_Assignments  " sheetId="43" r:id="rId4"/>
    <sheet name="ML_DATES2017" sheetId="44" r:id="rId5"/>
    <sheet name="August_Station_Assignment" sheetId="16" state="hidden" r:id="rId6"/>
    <sheet name="Assignment Dropdown_List" sheetId="2" state="hidden" r:id="rId7"/>
    <sheet name="DynamicValues" sheetId="14" state="hidden" r:id="rId8"/>
    <sheet name="Assignment_Counter" sheetId="17" state="hidden" r:id="rId9"/>
    <sheet name="Assignment_Counter blank" sheetId="18" state="hidden" r:id="rId10"/>
  </sheets>
  <functionGroups builtInGroupCount="19"/>
  <externalReferences>
    <externalReference r:id="rId11"/>
    <externalReference r:id="rId12"/>
  </externalReferences>
  <definedNames>
    <definedName name="_xlnm._FilterDatabase" localSheetId="0" hidden="1">Schedule!$E$3:$AL$20</definedName>
    <definedName name="Assignments" localSheetId="9">'Assignment Dropdown_List'!#REF!</definedName>
    <definedName name="Assignments" localSheetId="1">'[1]Assignment Dropdown_List'!#REF!</definedName>
    <definedName name="Assignments" localSheetId="5">'Assignment Dropdown_List'!#REF!</definedName>
    <definedName name="Assignments" localSheetId="0">'Assignment Dropdown_List'!#REF!</definedName>
    <definedName name="Assignments" localSheetId="3">'Assignment Dropdown_List'!#REF!</definedName>
    <definedName name="Assignments">'Assignment Dropdown_List'!#REF!</definedName>
    <definedName name="Before_6_15" localSheetId="9">'Assignment Dropdown_List'!#REF!</definedName>
    <definedName name="Before_6_15" localSheetId="1">'[1]Assignment Dropdown_List'!#REF!</definedName>
    <definedName name="Before_6_15" localSheetId="5">'Assignment Dropdown_List'!#REF!</definedName>
    <definedName name="Before_6_15" localSheetId="3">'Assignment Dropdown_List'!#REF!</definedName>
    <definedName name="Before_6_15">'Assignment Dropdown_List'!#REF!</definedName>
    <definedName name="Days" localSheetId="1">'[1]Assignment Dropdown_List'!$G$3:$G$16</definedName>
    <definedName name="Days">'Assignment Dropdown_List'!$G$3:$G$16</definedName>
    <definedName name="Days_On">'Assignment Dropdown_List'!$B$2:$B$4</definedName>
    <definedName name="MidJune" localSheetId="9">'Assignment Dropdown_List'!#REF!</definedName>
    <definedName name="MidJune" localSheetId="1">'[1]Assignment Dropdown_List'!#REF!</definedName>
    <definedName name="MidJune" localSheetId="5">'Assignment Dropdown_List'!#REF!</definedName>
    <definedName name="MidJune" localSheetId="3">'Assignment Dropdown_List'!#REF!</definedName>
    <definedName name="N_days">Schedule!$B$9</definedName>
    <definedName name="N_max_work_week">Schedule!$B$5</definedName>
    <definedName name="N_min_work_week">Schedule!$B$6</definedName>
    <definedName name="N_num_sites">Schedule!$B$7</definedName>
    <definedName name="N_volunteers">Schedule!$B$8</definedName>
    <definedName name="No_GM">'Assignment Dropdown_List'!$C$1:$C$13</definedName>
    <definedName name="Off_On" localSheetId="9">[2]Sheet2!#REF!</definedName>
    <definedName name="Off_On" localSheetId="5">[2]Sheet2!#REF!</definedName>
    <definedName name="Off_On" localSheetId="3">[2]Sheet2!#REF!</definedName>
    <definedName name="On_Off" localSheetId="9">[2]Sheet2!#REF!</definedName>
    <definedName name="On_Off" localSheetId="5">[2]Sheet2!#REF!</definedName>
    <definedName name="On_Off" localSheetId="3">[2]Sheet2!#REF!</definedName>
    <definedName name="On_Off">[2]Sheet2!#REF!</definedName>
    <definedName name="On_or_off" localSheetId="9">[2]Sheet2!#REF!</definedName>
    <definedName name="On_or_off" localSheetId="5">[2]Sheet2!#REF!</definedName>
    <definedName name="On_or_off" localSheetId="3">[2]Sheet2!#REF!</definedName>
    <definedName name="On_or_off">[2]Sheet2!#REF!</definedName>
    <definedName name="_xlnm.Print_Titles" localSheetId="5">August_Station_Assignment!$A:$B,August_Station_Assignment!$1:$2</definedName>
    <definedName name="_xlnm.Print_Titles" localSheetId="3">'Station_Assignments  '!$A:$B,'Station_Assignments  '!$1:$2</definedName>
    <definedName name="r_days">Schedule!$E$2:$AL$2</definedName>
    <definedName name="r_volunteer_names">Schedule!$D$3:$D$20</definedName>
    <definedName name="r_volunteer_schedule">Schedule!$E$3:$AL$20</definedName>
    <definedName name="r_volunteers">Schedule!$C$4:$D$20</definedName>
    <definedName name="Station" localSheetId="9">'Assignment Dropdown_List'!#REF!</definedName>
    <definedName name="Station" localSheetId="1">'[1]Assignment Dropdown_List'!#REF!</definedName>
    <definedName name="Station" localSheetId="5">'Assignment Dropdown_List'!#REF!</definedName>
    <definedName name="Station" localSheetId="3">'Assignment Dropdown_List'!#REF!</definedName>
    <definedName name="Stations" localSheetId="1">'[1]Assignment Dropdown_List'!$A$2:$A$16</definedName>
    <definedName name="Stations" localSheetId="5">'Assignment Dropdown_List'!#REF!</definedName>
    <definedName name="Stations" localSheetId="3">'Assignment Dropdown_List'!#REF!</definedName>
    <definedName name="volunteers">Schedule!$C$4:$D$20</definedName>
    <definedName name="X" localSheetId="9">'Assignment Dropdown_List'!#REF!</definedName>
    <definedName name="X" localSheetId="1">'[1]Assignment Dropdown_List'!#REF!</definedName>
    <definedName name="X" localSheetId="5">'Assignment Dropdown_List'!#REF!</definedName>
    <definedName name="X" localSheetId="3">'Assignment Dropdown_List'!#REF!</definedName>
  </definedNames>
  <calcPr calcId="17902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M4" i="15" l="1"/>
  <c r="AM5" i="15"/>
  <c r="AM6" i="15"/>
  <c r="AM7" i="15"/>
  <c r="AM8" i="15"/>
  <c r="AM9" i="15"/>
  <c r="AM10" i="15"/>
  <c r="AM11" i="15"/>
  <c r="AM12" i="15"/>
  <c r="AM13" i="15"/>
  <c r="AM14" i="15"/>
  <c r="AM15" i="15"/>
  <c r="AM16" i="15"/>
  <c r="AM17" i="15"/>
  <c r="AM18" i="15"/>
  <c r="AM19" i="15"/>
  <c r="AM20" i="15"/>
  <c r="AM3" i="15"/>
  <c r="AN3" i="15" l="1"/>
  <c r="B9" i="15"/>
  <c r="B8" i="15"/>
  <c r="AN20" i="15" l="1"/>
  <c r="AN19" i="15"/>
  <c r="AN18" i="15"/>
  <c r="AN17" i="15"/>
  <c r="AN16" i="15"/>
  <c r="AN15" i="15"/>
  <c r="AN14" i="15"/>
  <c r="AN13" i="15"/>
  <c r="AN12" i="15"/>
  <c r="AN11" i="15"/>
  <c r="AN10" i="15"/>
  <c r="AN9" i="15"/>
  <c r="AN8" i="15"/>
  <c r="AN7" i="15"/>
  <c r="AN6" i="15"/>
  <c r="AN5" i="15"/>
  <c r="AN4" i="15"/>
  <c r="AK4" i="38" l="1"/>
  <c r="AK5" i="38"/>
  <c r="AK6" i="38"/>
  <c r="AK7" i="38"/>
  <c r="AK8" i="38"/>
  <c r="AK9" i="38"/>
  <c r="AK10" i="38"/>
  <c r="AK11" i="38"/>
  <c r="AK12" i="38"/>
  <c r="AK13" i="38"/>
  <c r="AK14" i="38"/>
  <c r="AK15" i="38"/>
  <c r="AK16" i="38"/>
  <c r="AK17" i="38"/>
  <c r="AK18" i="38"/>
  <c r="K2" i="15"/>
  <c r="E3" i="43"/>
  <c r="F3" i="43"/>
  <c r="G3" i="43"/>
  <c r="E4" i="43"/>
  <c r="F4" i="43"/>
  <c r="G4" i="43"/>
  <c r="E5" i="43"/>
  <c r="F5" i="43"/>
  <c r="G5" i="43"/>
  <c r="E6" i="43"/>
  <c r="F6" i="43"/>
  <c r="G6" i="43"/>
  <c r="E7" i="43"/>
  <c r="F7" i="43"/>
  <c r="G7" i="43"/>
  <c r="E8" i="43"/>
  <c r="F8" i="43"/>
  <c r="G8" i="43"/>
  <c r="E9" i="43"/>
  <c r="F9" i="43"/>
  <c r="G9" i="43"/>
  <c r="E10" i="43"/>
  <c r="F10" i="43"/>
  <c r="G10" i="43"/>
  <c r="E11" i="43"/>
  <c r="F11" i="43"/>
  <c r="G11" i="43"/>
  <c r="E12" i="43"/>
  <c r="F12" i="43"/>
  <c r="G12" i="43"/>
  <c r="E13" i="43"/>
  <c r="F13" i="43"/>
  <c r="G13" i="43"/>
  <c r="E14" i="43"/>
  <c r="F14" i="43"/>
  <c r="G14" i="43"/>
  <c r="E15" i="43"/>
  <c r="F15" i="43"/>
  <c r="G15" i="43"/>
  <c r="E16" i="43"/>
  <c r="F16" i="43"/>
  <c r="G16" i="43"/>
  <c r="E17" i="43"/>
  <c r="F17" i="43"/>
  <c r="G17" i="43"/>
  <c r="E18" i="43"/>
  <c r="F18" i="43"/>
  <c r="G18" i="43"/>
  <c r="E19" i="43"/>
  <c r="F19" i="43"/>
  <c r="G19" i="43"/>
  <c r="E20" i="43"/>
  <c r="F20" i="43"/>
  <c r="G20" i="43"/>
  <c r="D1" i="43"/>
  <c r="E1" i="43"/>
  <c r="F1" i="43"/>
  <c r="G1" i="43"/>
  <c r="H1" i="43"/>
  <c r="I1" i="43"/>
  <c r="J1" i="43"/>
  <c r="K1" i="43"/>
  <c r="L1" i="43"/>
  <c r="M1" i="43"/>
  <c r="N1" i="43"/>
  <c r="O1" i="43"/>
  <c r="P1" i="43"/>
  <c r="Q1" i="43"/>
  <c r="R1" i="43"/>
  <c r="S1" i="43"/>
  <c r="T1" i="43"/>
  <c r="U1" i="43"/>
  <c r="V1" i="43"/>
  <c r="W1" i="43"/>
  <c r="X1" i="43"/>
  <c r="Y1" i="43"/>
  <c r="Z1" i="43"/>
  <c r="AA1" i="43"/>
  <c r="AB1" i="43"/>
  <c r="AC1" i="43"/>
  <c r="AD1" i="43"/>
  <c r="AE1" i="43"/>
  <c r="AF1" i="43"/>
  <c r="AG1" i="43"/>
  <c r="AH1" i="43"/>
  <c r="AI1" i="43"/>
  <c r="AJ1" i="43"/>
  <c r="C1" i="43"/>
  <c r="E2" i="43"/>
  <c r="F2" i="43"/>
  <c r="G2" i="43"/>
  <c r="D1" i="38"/>
  <c r="E1" i="38"/>
  <c r="F1" i="38"/>
  <c r="G1" i="38"/>
  <c r="H1" i="38"/>
  <c r="I1" i="38"/>
  <c r="J1" i="38"/>
  <c r="K1" i="38"/>
  <c r="L1" i="38"/>
  <c r="M1" i="38"/>
  <c r="N1" i="38"/>
  <c r="O1" i="38"/>
  <c r="P1" i="38"/>
  <c r="Q1" i="38"/>
  <c r="R1" i="38"/>
  <c r="S1" i="38"/>
  <c r="T1" i="38"/>
  <c r="U1" i="38"/>
  <c r="V1" i="38"/>
  <c r="W1" i="38"/>
  <c r="X1" i="38"/>
  <c r="Y1" i="38"/>
  <c r="Z1" i="38"/>
  <c r="AA1" i="38"/>
  <c r="AB1" i="38"/>
  <c r="AC1" i="38"/>
  <c r="AD1" i="38"/>
  <c r="AE1" i="38"/>
  <c r="AF1" i="38"/>
  <c r="AG1" i="38"/>
  <c r="AH1" i="38"/>
  <c r="AI1" i="38"/>
  <c r="AJ1" i="38"/>
  <c r="C1" i="38"/>
  <c r="D2" i="38"/>
  <c r="E2" i="38"/>
  <c r="F2" i="38"/>
  <c r="G2" i="38"/>
  <c r="H2" i="38"/>
  <c r="I2" i="38"/>
  <c r="E3" i="38"/>
  <c r="F3" i="38"/>
  <c r="G3" i="38"/>
  <c r="E4" i="38"/>
  <c r="F4" i="38"/>
  <c r="G4" i="38"/>
  <c r="E5" i="38"/>
  <c r="F5" i="38"/>
  <c r="G5" i="38"/>
  <c r="E6" i="38"/>
  <c r="F6" i="38"/>
  <c r="G6" i="38"/>
  <c r="E7" i="38"/>
  <c r="F7" i="38"/>
  <c r="G7" i="38"/>
  <c r="E8" i="38"/>
  <c r="F8" i="38"/>
  <c r="G8" i="38"/>
  <c r="E9" i="38"/>
  <c r="F9" i="38"/>
  <c r="G9" i="38"/>
  <c r="E10" i="38"/>
  <c r="F10" i="38"/>
  <c r="G10" i="38"/>
  <c r="E11" i="38"/>
  <c r="F11" i="38"/>
  <c r="G11" i="38"/>
  <c r="E12" i="38"/>
  <c r="F12" i="38"/>
  <c r="G12" i="38"/>
  <c r="E13" i="38"/>
  <c r="F13" i="38"/>
  <c r="G13" i="38"/>
  <c r="E14" i="38"/>
  <c r="F14" i="38"/>
  <c r="G14" i="38"/>
  <c r="E15" i="38"/>
  <c r="F15" i="38"/>
  <c r="G15" i="38"/>
  <c r="E16" i="38"/>
  <c r="F16" i="38"/>
  <c r="G16" i="38"/>
  <c r="E17" i="38"/>
  <c r="F17" i="38"/>
  <c r="G17" i="38"/>
  <c r="E18" i="38"/>
  <c r="F18" i="38"/>
  <c r="G18" i="38"/>
  <c r="A20" i="27"/>
  <c r="B20" i="27"/>
  <c r="J5" i="43"/>
  <c r="H11" i="43"/>
  <c r="D20" i="43"/>
  <c r="H20" i="43"/>
  <c r="I20" i="43"/>
  <c r="J20" i="43"/>
  <c r="K20" i="43"/>
  <c r="L20" i="43"/>
  <c r="M20" i="43"/>
  <c r="N20" i="43"/>
  <c r="O20" i="43"/>
  <c r="P20" i="43"/>
  <c r="Q20" i="43"/>
  <c r="R20" i="43"/>
  <c r="S20" i="43"/>
  <c r="T20" i="43"/>
  <c r="U20" i="43"/>
  <c r="V20" i="43"/>
  <c r="W20" i="43"/>
  <c r="X20" i="43"/>
  <c r="Y20" i="43"/>
  <c r="Z20" i="43"/>
  <c r="AA20" i="43"/>
  <c r="AB20" i="43"/>
  <c r="AC20" i="43"/>
  <c r="AD20" i="43"/>
  <c r="AE20" i="43"/>
  <c r="AF20" i="43"/>
  <c r="AG20" i="43"/>
  <c r="AH20" i="43"/>
  <c r="AI20" i="43"/>
  <c r="AJ20" i="43"/>
  <c r="C20" i="43"/>
  <c r="B20" i="43"/>
  <c r="A20" i="43"/>
  <c r="J8" i="43"/>
  <c r="K1" i="27"/>
  <c r="R20" i="27"/>
  <c r="R19" i="27"/>
  <c r="R18" i="27"/>
  <c r="R17" i="27"/>
  <c r="R16" i="27"/>
  <c r="R15" i="27"/>
  <c r="R14" i="27"/>
  <c r="R13" i="27"/>
  <c r="R12" i="27"/>
  <c r="R11" i="27"/>
  <c r="R10" i="27"/>
  <c r="R9" i="27"/>
  <c r="R8" i="27"/>
  <c r="R7" i="27"/>
  <c r="R6" i="27"/>
  <c r="R5" i="27"/>
  <c r="R4" i="27"/>
  <c r="R3" i="27"/>
  <c r="R1" i="27"/>
  <c r="AJ19" i="43"/>
  <c r="AI19" i="43"/>
  <c r="AH19" i="43"/>
  <c r="AG19" i="43"/>
  <c r="AF19" i="43"/>
  <c r="AE19" i="43"/>
  <c r="AD19" i="43"/>
  <c r="AC19" i="43"/>
  <c r="AB19" i="43"/>
  <c r="AA19" i="43"/>
  <c r="Z19" i="43"/>
  <c r="Y19" i="43"/>
  <c r="X19" i="43"/>
  <c r="W19" i="43"/>
  <c r="V19" i="43"/>
  <c r="U19" i="43"/>
  <c r="T19" i="43"/>
  <c r="S19" i="43"/>
  <c r="R19" i="43"/>
  <c r="Q19" i="43"/>
  <c r="P19" i="43"/>
  <c r="O19" i="43"/>
  <c r="N19" i="43"/>
  <c r="M19" i="43"/>
  <c r="L19" i="43"/>
  <c r="K19" i="43"/>
  <c r="J19" i="43"/>
  <c r="I19" i="43"/>
  <c r="H19" i="43"/>
  <c r="D19" i="43"/>
  <c r="C19" i="43"/>
  <c r="AJ18" i="43"/>
  <c r="AI18" i="43"/>
  <c r="AH18" i="43"/>
  <c r="AG18" i="43"/>
  <c r="AF18" i="43"/>
  <c r="AE18" i="43"/>
  <c r="AD18" i="43"/>
  <c r="AC18" i="43"/>
  <c r="AB18" i="43"/>
  <c r="AA18" i="43"/>
  <c r="Z18" i="43"/>
  <c r="Y18" i="43"/>
  <c r="X18" i="43"/>
  <c r="W18" i="43"/>
  <c r="V18" i="43"/>
  <c r="U18" i="43"/>
  <c r="T18" i="43"/>
  <c r="S18" i="43"/>
  <c r="R18" i="43"/>
  <c r="Q18" i="43"/>
  <c r="P18" i="43"/>
  <c r="O18" i="43"/>
  <c r="N18" i="43"/>
  <c r="M18" i="43"/>
  <c r="L18" i="43"/>
  <c r="K18" i="43"/>
  <c r="J18" i="43"/>
  <c r="I18" i="43"/>
  <c r="H18" i="43"/>
  <c r="D18" i="43"/>
  <c r="AJ17" i="43"/>
  <c r="AI17" i="43"/>
  <c r="AH17" i="43"/>
  <c r="AG17" i="43"/>
  <c r="AF17" i="43"/>
  <c r="AE17" i="43"/>
  <c r="AD17" i="43"/>
  <c r="AC17" i="43"/>
  <c r="AB17" i="43"/>
  <c r="AA17" i="43"/>
  <c r="Z17" i="43"/>
  <c r="Y17" i="43"/>
  <c r="X17" i="43"/>
  <c r="W17" i="43"/>
  <c r="V17" i="43"/>
  <c r="U17" i="43"/>
  <c r="T17" i="43"/>
  <c r="S17" i="43"/>
  <c r="R17" i="43"/>
  <c r="Q17" i="43"/>
  <c r="P17" i="43"/>
  <c r="O17" i="43"/>
  <c r="N17" i="43"/>
  <c r="M17" i="43"/>
  <c r="L17" i="43"/>
  <c r="K17" i="43"/>
  <c r="J17" i="43"/>
  <c r="I17" i="43"/>
  <c r="H17" i="43"/>
  <c r="D17" i="43"/>
  <c r="AJ16" i="43"/>
  <c r="AI16" i="43"/>
  <c r="AH16" i="43"/>
  <c r="AG16" i="43"/>
  <c r="AF16" i="43"/>
  <c r="AE16" i="43"/>
  <c r="AD16" i="43"/>
  <c r="AC16" i="43"/>
  <c r="AB16" i="43"/>
  <c r="AA16" i="43"/>
  <c r="Z16" i="43"/>
  <c r="Y16" i="43"/>
  <c r="X16" i="43"/>
  <c r="W16" i="43"/>
  <c r="V16" i="43"/>
  <c r="U16" i="43"/>
  <c r="T16" i="43"/>
  <c r="S16" i="43"/>
  <c r="R16" i="43"/>
  <c r="Q16" i="43"/>
  <c r="P16" i="43"/>
  <c r="O16" i="43"/>
  <c r="N16" i="43"/>
  <c r="M16" i="43"/>
  <c r="L16" i="43"/>
  <c r="K16" i="43"/>
  <c r="J16" i="43"/>
  <c r="I16" i="43"/>
  <c r="H16" i="43"/>
  <c r="D16" i="43"/>
  <c r="AJ15" i="43"/>
  <c r="AI15" i="43"/>
  <c r="AH15" i="43"/>
  <c r="AG15" i="43"/>
  <c r="AF15" i="43"/>
  <c r="AE15" i="43"/>
  <c r="AD15" i="43"/>
  <c r="AC15" i="43"/>
  <c r="AB15" i="43"/>
  <c r="AA15" i="43"/>
  <c r="Z15" i="43"/>
  <c r="Y15" i="43"/>
  <c r="X15" i="43"/>
  <c r="W15" i="43"/>
  <c r="V15" i="43"/>
  <c r="U15" i="43"/>
  <c r="T15" i="43"/>
  <c r="S15" i="43"/>
  <c r="R15" i="43"/>
  <c r="Q15" i="43"/>
  <c r="P15" i="43"/>
  <c r="O15" i="43"/>
  <c r="N15" i="43"/>
  <c r="M15" i="43"/>
  <c r="L15" i="43"/>
  <c r="K15" i="43"/>
  <c r="J15" i="43"/>
  <c r="I15" i="43"/>
  <c r="H15" i="43"/>
  <c r="D15" i="43"/>
  <c r="AJ14" i="43"/>
  <c r="AI14" i="43"/>
  <c r="AH14" i="43"/>
  <c r="AG14" i="43"/>
  <c r="AF14" i="43"/>
  <c r="AE14" i="43"/>
  <c r="AD14" i="43"/>
  <c r="AC14" i="43"/>
  <c r="AB14" i="43"/>
  <c r="AA14" i="43"/>
  <c r="Z14" i="43"/>
  <c r="Y14" i="43"/>
  <c r="X14" i="43"/>
  <c r="W14" i="43"/>
  <c r="V14" i="43"/>
  <c r="U14" i="43"/>
  <c r="T14" i="43"/>
  <c r="S14" i="43"/>
  <c r="R14" i="43"/>
  <c r="Q14" i="43"/>
  <c r="P14" i="43"/>
  <c r="O14" i="43"/>
  <c r="N14" i="43"/>
  <c r="M14" i="43"/>
  <c r="L14" i="43"/>
  <c r="K14" i="43"/>
  <c r="J14" i="43"/>
  <c r="I14" i="43"/>
  <c r="H14" i="43"/>
  <c r="D14" i="43"/>
  <c r="AJ13" i="43"/>
  <c r="AI13" i="43"/>
  <c r="AH13" i="43"/>
  <c r="AG13" i="43"/>
  <c r="AF13" i="43"/>
  <c r="AE13" i="43"/>
  <c r="AD13" i="43"/>
  <c r="AC13" i="43"/>
  <c r="AB13" i="43"/>
  <c r="AA13" i="43"/>
  <c r="Z13" i="43"/>
  <c r="Y13" i="43"/>
  <c r="X13" i="43"/>
  <c r="W13" i="43"/>
  <c r="V13" i="43"/>
  <c r="U13" i="43"/>
  <c r="T13" i="43"/>
  <c r="S13" i="43"/>
  <c r="R13" i="43"/>
  <c r="Q13" i="43"/>
  <c r="P13" i="43"/>
  <c r="O13" i="43"/>
  <c r="N13" i="43"/>
  <c r="M13" i="43"/>
  <c r="L13" i="43"/>
  <c r="K13" i="43"/>
  <c r="J13" i="43"/>
  <c r="I13" i="43"/>
  <c r="H13" i="43"/>
  <c r="D13" i="43"/>
  <c r="AJ12" i="43"/>
  <c r="AI12" i="43"/>
  <c r="AH12" i="43"/>
  <c r="AG12" i="43"/>
  <c r="AF12" i="43"/>
  <c r="AE12" i="43"/>
  <c r="AD12" i="43"/>
  <c r="AC12" i="43"/>
  <c r="AB12" i="43"/>
  <c r="AA12" i="43"/>
  <c r="Z12" i="43"/>
  <c r="Y12" i="43"/>
  <c r="X12" i="43"/>
  <c r="W12" i="43"/>
  <c r="V12" i="43"/>
  <c r="U12" i="43"/>
  <c r="T12" i="43"/>
  <c r="S12" i="43"/>
  <c r="R12" i="43"/>
  <c r="Q12" i="43"/>
  <c r="P12" i="43"/>
  <c r="O12" i="43"/>
  <c r="N12" i="43"/>
  <c r="M12" i="43"/>
  <c r="L12" i="43"/>
  <c r="K12" i="43"/>
  <c r="J12" i="43"/>
  <c r="I12" i="43"/>
  <c r="H12" i="43"/>
  <c r="D12" i="43"/>
  <c r="AJ11" i="43"/>
  <c r="AI11" i="43"/>
  <c r="AH11" i="43"/>
  <c r="AG11" i="43"/>
  <c r="AF11" i="43"/>
  <c r="AE11" i="43"/>
  <c r="AD11" i="43"/>
  <c r="AC11" i="43"/>
  <c r="AB11" i="43"/>
  <c r="AA11" i="43"/>
  <c r="Z11" i="43"/>
  <c r="Y11" i="43"/>
  <c r="X11" i="43"/>
  <c r="W11" i="43"/>
  <c r="V11" i="43"/>
  <c r="U11" i="43"/>
  <c r="T11" i="43"/>
  <c r="S11" i="43"/>
  <c r="R11" i="43"/>
  <c r="Q11" i="43"/>
  <c r="P11" i="43"/>
  <c r="O11" i="43"/>
  <c r="N11" i="43"/>
  <c r="M11" i="43"/>
  <c r="L11" i="43"/>
  <c r="K11" i="43"/>
  <c r="J11" i="43"/>
  <c r="I11" i="43"/>
  <c r="D11" i="43"/>
  <c r="AJ10" i="43"/>
  <c r="AI10" i="43"/>
  <c r="AH10" i="43"/>
  <c r="AG10" i="43"/>
  <c r="AF10" i="43"/>
  <c r="AE10" i="43"/>
  <c r="AD10" i="43"/>
  <c r="AC10" i="43"/>
  <c r="AB10" i="43"/>
  <c r="AA10" i="43"/>
  <c r="Z10" i="43"/>
  <c r="Y10" i="43"/>
  <c r="X10" i="43"/>
  <c r="W10" i="43"/>
  <c r="V10" i="43"/>
  <c r="U10" i="43"/>
  <c r="T10" i="43"/>
  <c r="S10" i="43"/>
  <c r="R10" i="43"/>
  <c r="Q10" i="43"/>
  <c r="P10" i="43"/>
  <c r="O10" i="43"/>
  <c r="N10" i="43"/>
  <c r="M10" i="43"/>
  <c r="L10" i="43"/>
  <c r="K10" i="43"/>
  <c r="J10" i="43"/>
  <c r="I10" i="43"/>
  <c r="H10" i="43"/>
  <c r="D10" i="43"/>
  <c r="AJ9" i="43"/>
  <c r="AI9" i="43"/>
  <c r="AH9" i="43"/>
  <c r="AG9" i="43"/>
  <c r="AF9" i="43"/>
  <c r="AE9" i="43"/>
  <c r="AD9" i="43"/>
  <c r="AC9" i="43"/>
  <c r="AB9" i="43"/>
  <c r="AA9" i="43"/>
  <c r="Z9" i="43"/>
  <c r="Y9" i="43"/>
  <c r="X9" i="43"/>
  <c r="W9" i="43"/>
  <c r="V9" i="43"/>
  <c r="U9" i="43"/>
  <c r="T9" i="43"/>
  <c r="S9" i="43"/>
  <c r="R9" i="43"/>
  <c r="Q9" i="43"/>
  <c r="P9" i="43"/>
  <c r="O9" i="43"/>
  <c r="N9" i="43"/>
  <c r="M9" i="43"/>
  <c r="L9" i="43"/>
  <c r="K9" i="43"/>
  <c r="J9" i="43"/>
  <c r="I9" i="43"/>
  <c r="H9" i="43"/>
  <c r="D9" i="43"/>
  <c r="AJ8" i="43"/>
  <c r="AI8" i="43"/>
  <c r="AH8" i="43"/>
  <c r="AG8" i="43"/>
  <c r="AF8" i="43"/>
  <c r="AE8" i="43"/>
  <c r="AD8" i="43"/>
  <c r="AC8" i="43"/>
  <c r="AB8" i="43"/>
  <c r="AA8" i="43"/>
  <c r="Z8" i="43"/>
  <c r="Y8" i="43"/>
  <c r="X8" i="43"/>
  <c r="W8" i="43"/>
  <c r="V8" i="43"/>
  <c r="U8" i="43"/>
  <c r="T8" i="43"/>
  <c r="S8" i="43"/>
  <c r="R8" i="43"/>
  <c r="Q8" i="43"/>
  <c r="P8" i="43"/>
  <c r="O8" i="43"/>
  <c r="N8" i="43"/>
  <c r="M8" i="43"/>
  <c r="L8" i="43"/>
  <c r="K8" i="43"/>
  <c r="I8" i="43"/>
  <c r="H8" i="43"/>
  <c r="D8" i="43"/>
  <c r="AJ7" i="43"/>
  <c r="AI7" i="43"/>
  <c r="AH7" i="43"/>
  <c r="AG7" i="43"/>
  <c r="AF7" i="43"/>
  <c r="AE7" i="43"/>
  <c r="AD7" i="43"/>
  <c r="AC7" i="43"/>
  <c r="AB7" i="43"/>
  <c r="AA7" i="43"/>
  <c r="Z7" i="43"/>
  <c r="Y7" i="43"/>
  <c r="X7" i="43"/>
  <c r="W7" i="43"/>
  <c r="V7" i="43"/>
  <c r="U7" i="43"/>
  <c r="T7" i="43"/>
  <c r="S7" i="43"/>
  <c r="R7" i="43"/>
  <c r="Q7" i="43"/>
  <c r="P7" i="43"/>
  <c r="O7" i="43"/>
  <c r="N7" i="43"/>
  <c r="M7" i="43"/>
  <c r="L7" i="43"/>
  <c r="K7" i="43"/>
  <c r="J7" i="43"/>
  <c r="I7" i="43"/>
  <c r="H7" i="43"/>
  <c r="AJ6" i="43"/>
  <c r="AI6" i="43"/>
  <c r="AH6" i="43"/>
  <c r="AG6" i="43"/>
  <c r="AF6" i="43"/>
  <c r="AE6" i="43"/>
  <c r="AD6" i="43"/>
  <c r="AC6" i="43"/>
  <c r="AB6" i="43"/>
  <c r="AA6" i="43"/>
  <c r="Z6" i="43"/>
  <c r="Y6" i="43"/>
  <c r="X6" i="43"/>
  <c r="W6" i="43"/>
  <c r="V6" i="43"/>
  <c r="U6" i="43"/>
  <c r="T6" i="43"/>
  <c r="S6" i="43"/>
  <c r="R6" i="43"/>
  <c r="Q6" i="43"/>
  <c r="P6" i="43"/>
  <c r="O6" i="43"/>
  <c r="N6" i="43"/>
  <c r="M6" i="43"/>
  <c r="L6" i="43"/>
  <c r="K6" i="43"/>
  <c r="J6" i="43"/>
  <c r="I6" i="43"/>
  <c r="H6" i="43"/>
  <c r="AJ4" i="43"/>
  <c r="AI4" i="43"/>
  <c r="AH4" i="43"/>
  <c r="AG4" i="43"/>
  <c r="AF4" i="43"/>
  <c r="AE4" i="43"/>
  <c r="AD4" i="43"/>
  <c r="AC4" i="43"/>
  <c r="AB4" i="43"/>
  <c r="AA4" i="43"/>
  <c r="Z4" i="43"/>
  <c r="Y4" i="43"/>
  <c r="X4" i="43"/>
  <c r="W4" i="43"/>
  <c r="V4" i="43"/>
  <c r="U4" i="43"/>
  <c r="T4" i="43"/>
  <c r="S4" i="43"/>
  <c r="R4" i="43"/>
  <c r="Q4" i="43"/>
  <c r="P4" i="43"/>
  <c r="O4" i="43"/>
  <c r="N4" i="43"/>
  <c r="M4" i="43"/>
  <c r="L4" i="43"/>
  <c r="K4" i="43"/>
  <c r="J4" i="43"/>
  <c r="I4" i="43"/>
  <c r="H4" i="43"/>
  <c r="H5" i="43"/>
  <c r="D7" i="43"/>
  <c r="D6" i="43"/>
  <c r="D5" i="43"/>
  <c r="D4" i="43"/>
  <c r="Q20" i="27"/>
  <c r="P20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Q19" i="27"/>
  <c r="P19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A19" i="27"/>
  <c r="B18" i="27"/>
  <c r="A18" i="27"/>
  <c r="B17" i="27"/>
  <c r="A17" i="27"/>
  <c r="B16" i="27"/>
  <c r="A16" i="27"/>
  <c r="B15" i="27"/>
  <c r="A15" i="27"/>
  <c r="B14" i="27"/>
  <c r="A14" i="27"/>
  <c r="B13" i="27"/>
  <c r="A13" i="27"/>
  <c r="B12" i="27"/>
  <c r="A12" i="27"/>
  <c r="B11" i="27"/>
  <c r="A11" i="27"/>
  <c r="B10" i="27"/>
  <c r="A10" i="27"/>
  <c r="B9" i="27"/>
  <c r="A9" i="27"/>
  <c r="B8" i="27"/>
  <c r="A8" i="27"/>
  <c r="B7" i="27"/>
  <c r="A7" i="27"/>
  <c r="B6" i="27"/>
  <c r="A6" i="27"/>
  <c r="B5" i="27"/>
  <c r="A5" i="27"/>
  <c r="B4" i="27"/>
  <c r="A4" i="27"/>
  <c r="AJ18" i="38"/>
  <c r="AI18" i="38"/>
  <c r="AH18" i="38"/>
  <c r="AG18" i="38"/>
  <c r="AF18" i="38"/>
  <c r="AE18" i="38"/>
  <c r="AD18" i="38"/>
  <c r="AC18" i="38"/>
  <c r="AB18" i="38"/>
  <c r="AA18" i="38"/>
  <c r="Z18" i="38"/>
  <c r="Y18" i="38"/>
  <c r="X18" i="38"/>
  <c r="W18" i="38"/>
  <c r="V18" i="38"/>
  <c r="U18" i="38"/>
  <c r="T18" i="38"/>
  <c r="S18" i="38"/>
  <c r="R18" i="38"/>
  <c r="Q18" i="38"/>
  <c r="P18" i="38"/>
  <c r="O18" i="38"/>
  <c r="N18" i="38"/>
  <c r="M18" i="38"/>
  <c r="L18" i="38"/>
  <c r="K18" i="38"/>
  <c r="J18" i="38"/>
  <c r="I18" i="38"/>
  <c r="H18" i="38"/>
  <c r="D18" i="38"/>
  <c r="AJ17" i="38"/>
  <c r="AI17" i="38"/>
  <c r="AH17" i="38"/>
  <c r="AG17" i="38"/>
  <c r="AF17" i="38"/>
  <c r="AE17" i="38"/>
  <c r="AD17" i="38"/>
  <c r="AC17" i="38"/>
  <c r="AB17" i="38"/>
  <c r="AA17" i="38"/>
  <c r="Z17" i="38"/>
  <c r="Y17" i="38"/>
  <c r="X17" i="38"/>
  <c r="W17" i="38"/>
  <c r="V17" i="38"/>
  <c r="U17" i="38"/>
  <c r="T17" i="38"/>
  <c r="S17" i="38"/>
  <c r="R17" i="38"/>
  <c r="Q17" i="38"/>
  <c r="P17" i="38"/>
  <c r="O17" i="38"/>
  <c r="N17" i="38"/>
  <c r="M17" i="38"/>
  <c r="L17" i="38"/>
  <c r="K17" i="38"/>
  <c r="J17" i="38"/>
  <c r="I17" i="38"/>
  <c r="H17" i="38"/>
  <c r="D17" i="38"/>
  <c r="C18" i="38"/>
  <c r="C17" i="38"/>
  <c r="AJ16" i="38"/>
  <c r="AI16" i="38"/>
  <c r="AH16" i="38"/>
  <c r="AG16" i="38"/>
  <c r="AF16" i="38"/>
  <c r="AE16" i="38"/>
  <c r="AD16" i="38"/>
  <c r="AC16" i="38"/>
  <c r="AB16" i="38"/>
  <c r="AA16" i="38"/>
  <c r="Z16" i="38"/>
  <c r="Y16" i="38"/>
  <c r="X16" i="38"/>
  <c r="W16" i="38"/>
  <c r="V16" i="38"/>
  <c r="U16" i="38"/>
  <c r="T16" i="38"/>
  <c r="S16" i="38"/>
  <c r="R16" i="38"/>
  <c r="Q16" i="38"/>
  <c r="P16" i="38"/>
  <c r="O16" i="38"/>
  <c r="N16" i="38"/>
  <c r="M16" i="38"/>
  <c r="L16" i="38"/>
  <c r="K16" i="38"/>
  <c r="J16" i="38"/>
  <c r="I16" i="38"/>
  <c r="H16" i="38"/>
  <c r="D16" i="38"/>
  <c r="C16" i="38"/>
  <c r="AJ15" i="38"/>
  <c r="AI15" i="38"/>
  <c r="AH15" i="38"/>
  <c r="AG15" i="38"/>
  <c r="AF15" i="38"/>
  <c r="AE15" i="38"/>
  <c r="AD15" i="38"/>
  <c r="AC15" i="38"/>
  <c r="AB15" i="38"/>
  <c r="AA15" i="38"/>
  <c r="Z15" i="38"/>
  <c r="Y15" i="38"/>
  <c r="X15" i="38"/>
  <c r="W15" i="38"/>
  <c r="V15" i="38"/>
  <c r="U15" i="38"/>
  <c r="T15" i="38"/>
  <c r="S15" i="38"/>
  <c r="R15" i="38"/>
  <c r="Q15" i="38"/>
  <c r="P15" i="38"/>
  <c r="O15" i="38"/>
  <c r="N15" i="38"/>
  <c r="M15" i="38"/>
  <c r="L15" i="38"/>
  <c r="K15" i="38"/>
  <c r="J15" i="38"/>
  <c r="I15" i="38"/>
  <c r="H15" i="38"/>
  <c r="D15" i="38"/>
  <c r="C15" i="38"/>
  <c r="AJ14" i="38"/>
  <c r="AI14" i="38"/>
  <c r="AH14" i="38"/>
  <c r="AG14" i="38"/>
  <c r="AF14" i="38"/>
  <c r="AE14" i="38"/>
  <c r="AD14" i="38"/>
  <c r="AC14" i="38"/>
  <c r="AB14" i="38"/>
  <c r="AA14" i="38"/>
  <c r="Z14" i="38"/>
  <c r="Y14" i="38"/>
  <c r="X14" i="38"/>
  <c r="W14" i="38"/>
  <c r="V14" i="38"/>
  <c r="U14" i="38"/>
  <c r="T14" i="38"/>
  <c r="S14" i="38"/>
  <c r="R14" i="38"/>
  <c r="Q14" i="38"/>
  <c r="P14" i="38"/>
  <c r="O14" i="38"/>
  <c r="N14" i="38"/>
  <c r="M14" i="38"/>
  <c r="L14" i="38"/>
  <c r="K14" i="38"/>
  <c r="J14" i="38"/>
  <c r="I14" i="38"/>
  <c r="H14" i="38"/>
  <c r="D14" i="38"/>
  <c r="C14" i="38"/>
  <c r="A18" i="38"/>
  <c r="A17" i="38"/>
  <c r="A16" i="38"/>
  <c r="A15" i="38"/>
  <c r="A14" i="38"/>
  <c r="A13" i="38"/>
  <c r="A12" i="38"/>
  <c r="A11" i="38"/>
  <c r="A10" i="38"/>
  <c r="A9" i="38"/>
  <c r="A8" i="38"/>
  <c r="A7" i="38"/>
  <c r="A6" i="38"/>
  <c r="A5" i="38"/>
  <c r="A4" i="38"/>
  <c r="Q18" i="27"/>
  <c r="P18" i="27"/>
  <c r="O18" i="27"/>
  <c r="N18" i="27"/>
  <c r="M18" i="27"/>
  <c r="L18" i="27"/>
  <c r="K18" i="27"/>
  <c r="Q17" i="27"/>
  <c r="P17" i="27"/>
  <c r="O17" i="27"/>
  <c r="N17" i="27"/>
  <c r="M17" i="27"/>
  <c r="L17" i="27"/>
  <c r="K17" i="27"/>
  <c r="Q16" i="27"/>
  <c r="P16" i="27"/>
  <c r="O16" i="27"/>
  <c r="N16" i="27"/>
  <c r="M16" i="27"/>
  <c r="L16" i="27"/>
  <c r="K16" i="27"/>
  <c r="Q15" i="27"/>
  <c r="P15" i="27"/>
  <c r="O15" i="27"/>
  <c r="N15" i="27"/>
  <c r="M15" i="27"/>
  <c r="L15" i="27"/>
  <c r="K15" i="27"/>
  <c r="Q14" i="27"/>
  <c r="P14" i="27"/>
  <c r="O14" i="27"/>
  <c r="N14" i="27"/>
  <c r="M14" i="27"/>
  <c r="L14" i="27"/>
  <c r="K14" i="27"/>
  <c r="Q13" i="27"/>
  <c r="P13" i="27"/>
  <c r="O13" i="27"/>
  <c r="N13" i="27"/>
  <c r="M13" i="27"/>
  <c r="L13" i="27"/>
  <c r="K13" i="27"/>
  <c r="Q12" i="27"/>
  <c r="P12" i="27"/>
  <c r="O12" i="27"/>
  <c r="N12" i="27"/>
  <c r="M12" i="27"/>
  <c r="L12" i="27"/>
  <c r="K12" i="27"/>
  <c r="Q11" i="27"/>
  <c r="P11" i="27"/>
  <c r="O11" i="27"/>
  <c r="N11" i="27"/>
  <c r="M11" i="27"/>
  <c r="L11" i="27"/>
  <c r="K11" i="27"/>
  <c r="Q10" i="27"/>
  <c r="P10" i="27"/>
  <c r="O10" i="27"/>
  <c r="N10" i="27"/>
  <c r="M10" i="27"/>
  <c r="L10" i="27"/>
  <c r="K10" i="27"/>
  <c r="Q9" i="27"/>
  <c r="P9" i="27"/>
  <c r="O9" i="27"/>
  <c r="N9" i="27"/>
  <c r="M9" i="27"/>
  <c r="L9" i="27"/>
  <c r="K9" i="27"/>
  <c r="Q8" i="27"/>
  <c r="P8" i="27"/>
  <c r="O8" i="27"/>
  <c r="N8" i="27"/>
  <c r="M8" i="27"/>
  <c r="L8" i="27"/>
  <c r="K8" i="27"/>
  <c r="Q7" i="27"/>
  <c r="P7" i="27"/>
  <c r="O7" i="27"/>
  <c r="N7" i="27"/>
  <c r="M7" i="27"/>
  <c r="L7" i="27"/>
  <c r="K7" i="27"/>
  <c r="Q6" i="27"/>
  <c r="P6" i="27"/>
  <c r="O6" i="27"/>
  <c r="N6" i="27"/>
  <c r="M6" i="27"/>
  <c r="L6" i="27"/>
  <c r="K6" i="27"/>
  <c r="Q5" i="27"/>
  <c r="P5" i="27"/>
  <c r="O5" i="27"/>
  <c r="N5" i="27"/>
  <c r="M5" i="27"/>
  <c r="L5" i="27"/>
  <c r="K5" i="27"/>
  <c r="Q4" i="27"/>
  <c r="P4" i="27"/>
  <c r="O4" i="27"/>
  <c r="N4" i="27"/>
  <c r="M4" i="27"/>
  <c r="L4" i="27"/>
  <c r="K4" i="27"/>
  <c r="Q1" i="27"/>
  <c r="P1" i="27"/>
  <c r="O1" i="27"/>
  <c r="Q3" i="27"/>
  <c r="P3" i="27"/>
  <c r="O3" i="27"/>
  <c r="N3" i="27"/>
  <c r="M3" i="27"/>
  <c r="L3" i="27"/>
  <c r="K3" i="27"/>
  <c r="J18" i="27"/>
  <c r="J17" i="27"/>
  <c r="J16" i="27"/>
  <c r="J15" i="27"/>
  <c r="J14" i="27"/>
  <c r="J13" i="27"/>
  <c r="J12" i="27"/>
  <c r="J11" i="27"/>
  <c r="J10" i="27"/>
  <c r="J9" i="27"/>
  <c r="J8" i="27"/>
  <c r="J7" i="27"/>
  <c r="J6" i="27"/>
  <c r="J5" i="27"/>
  <c r="J4" i="27"/>
  <c r="J3" i="27"/>
  <c r="I18" i="27"/>
  <c r="I17" i="27"/>
  <c r="I16" i="27"/>
  <c r="I15" i="27"/>
  <c r="I14" i="27"/>
  <c r="I13" i="27"/>
  <c r="I12" i="27"/>
  <c r="I11" i="27"/>
  <c r="I10" i="27"/>
  <c r="I9" i="27"/>
  <c r="I8" i="27"/>
  <c r="I7" i="27"/>
  <c r="I6" i="27"/>
  <c r="I5" i="27"/>
  <c r="I4" i="27"/>
  <c r="I3" i="27"/>
  <c r="H18" i="27"/>
  <c r="H17" i="27"/>
  <c r="H16" i="27"/>
  <c r="H15" i="27"/>
  <c r="H14" i="27"/>
  <c r="H13" i="27"/>
  <c r="H12" i="27"/>
  <c r="H11" i="27"/>
  <c r="H10" i="27"/>
  <c r="H9" i="27"/>
  <c r="H8" i="27"/>
  <c r="H7" i="27"/>
  <c r="H6" i="27"/>
  <c r="H5" i="27"/>
  <c r="H4" i="27"/>
  <c r="H3" i="27"/>
  <c r="G18" i="27"/>
  <c r="G17" i="27"/>
  <c r="G16" i="27"/>
  <c r="G15" i="27"/>
  <c r="G14" i="27"/>
  <c r="G13" i="27"/>
  <c r="G12" i="27"/>
  <c r="G11" i="27"/>
  <c r="G10" i="27"/>
  <c r="G9" i="27"/>
  <c r="G8" i="27"/>
  <c r="G7" i="27"/>
  <c r="G6" i="27"/>
  <c r="G5" i="27"/>
  <c r="G4" i="27"/>
  <c r="G3" i="27"/>
  <c r="F18" i="27"/>
  <c r="F17" i="27"/>
  <c r="F16" i="27"/>
  <c r="F15" i="27"/>
  <c r="F14" i="27"/>
  <c r="F13" i="27"/>
  <c r="F12" i="27"/>
  <c r="F11" i="27"/>
  <c r="F10" i="27"/>
  <c r="F9" i="27"/>
  <c r="F8" i="27"/>
  <c r="F7" i="27"/>
  <c r="F6" i="27"/>
  <c r="F5" i="27"/>
  <c r="F4" i="27"/>
  <c r="F3" i="27"/>
  <c r="E18" i="27"/>
  <c r="E17" i="27"/>
  <c r="E16" i="27"/>
  <c r="E15" i="27"/>
  <c r="E14" i="27"/>
  <c r="E13" i="27"/>
  <c r="E12" i="27"/>
  <c r="E11" i="27"/>
  <c r="E10" i="27"/>
  <c r="E9" i="27"/>
  <c r="E8" i="27"/>
  <c r="E7" i="27"/>
  <c r="E6" i="27"/>
  <c r="E5" i="27"/>
  <c r="E4" i="27"/>
  <c r="E3" i="27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4" i="27"/>
  <c r="C3" i="27"/>
  <c r="D18" i="27"/>
  <c r="D17" i="27"/>
  <c r="D16" i="27"/>
  <c r="D15" i="27"/>
  <c r="D14" i="27"/>
  <c r="D13" i="27"/>
  <c r="D12" i="27"/>
  <c r="D11" i="27"/>
  <c r="D10" i="27"/>
  <c r="D9" i="27"/>
  <c r="D8" i="27"/>
  <c r="D7" i="27"/>
  <c r="D6" i="27"/>
  <c r="D5" i="27"/>
  <c r="D4" i="27"/>
  <c r="D3" i="27"/>
  <c r="N1" i="27"/>
  <c r="M1" i="27"/>
  <c r="L1" i="27"/>
  <c r="J1" i="27"/>
  <c r="I1" i="27"/>
  <c r="H1" i="27"/>
  <c r="G1" i="27"/>
  <c r="F1" i="27"/>
  <c r="E1" i="27"/>
  <c r="D1" i="27"/>
  <c r="C1" i="27"/>
  <c r="B19" i="43"/>
  <c r="A19" i="43"/>
  <c r="B18" i="43"/>
  <c r="A18" i="43"/>
  <c r="B17" i="43"/>
  <c r="A17" i="43"/>
  <c r="B16" i="43"/>
  <c r="A16" i="43"/>
  <c r="B15" i="43"/>
  <c r="A15" i="43"/>
  <c r="B14" i="43"/>
  <c r="A14" i="43"/>
  <c r="B13" i="43"/>
  <c r="A13" i="43"/>
  <c r="B12" i="43"/>
  <c r="A12" i="43"/>
  <c r="B11" i="43"/>
  <c r="A11" i="43"/>
  <c r="B10" i="43"/>
  <c r="A10" i="43"/>
  <c r="B9" i="43"/>
  <c r="A9" i="43"/>
  <c r="B8" i="43"/>
  <c r="A8" i="43"/>
  <c r="B7" i="43"/>
  <c r="A7" i="43"/>
  <c r="B6" i="43"/>
  <c r="A6" i="43"/>
  <c r="B5" i="43"/>
  <c r="A5" i="43"/>
  <c r="B4" i="43"/>
  <c r="A4" i="43"/>
  <c r="AJ13" i="38"/>
  <c r="AI13" i="38"/>
  <c r="AH13" i="38"/>
  <c r="AG13" i="38"/>
  <c r="AF13" i="38"/>
  <c r="AE13" i="38"/>
  <c r="AD13" i="38"/>
  <c r="AC13" i="38"/>
  <c r="AB13" i="38"/>
  <c r="AA13" i="38"/>
  <c r="Z13" i="38"/>
  <c r="Y13" i="38"/>
  <c r="X13" i="38"/>
  <c r="W13" i="38"/>
  <c r="V13" i="38"/>
  <c r="U13" i="38"/>
  <c r="T13" i="38"/>
  <c r="S13" i="38"/>
  <c r="R13" i="38"/>
  <c r="Q13" i="38"/>
  <c r="P13" i="38"/>
  <c r="O13" i="38"/>
  <c r="N13" i="38"/>
  <c r="M13" i="38"/>
  <c r="L13" i="38"/>
  <c r="K13" i="38"/>
  <c r="J13" i="38"/>
  <c r="I13" i="38"/>
  <c r="H13" i="38"/>
  <c r="D13" i="38"/>
  <c r="C13" i="38"/>
  <c r="AJ12" i="38"/>
  <c r="AI12" i="38"/>
  <c r="AH12" i="38"/>
  <c r="AG12" i="38"/>
  <c r="AF12" i="38"/>
  <c r="AE12" i="38"/>
  <c r="AD12" i="38"/>
  <c r="AC12" i="38"/>
  <c r="AB12" i="38"/>
  <c r="AA12" i="38"/>
  <c r="Z12" i="38"/>
  <c r="Y12" i="38"/>
  <c r="X12" i="38"/>
  <c r="W12" i="38"/>
  <c r="V12" i="38"/>
  <c r="U12" i="38"/>
  <c r="T12" i="38"/>
  <c r="S12" i="38"/>
  <c r="R12" i="38"/>
  <c r="Q12" i="38"/>
  <c r="P12" i="38"/>
  <c r="O12" i="38"/>
  <c r="N12" i="38"/>
  <c r="M12" i="38"/>
  <c r="L12" i="38"/>
  <c r="K12" i="38"/>
  <c r="J12" i="38"/>
  <c r="I12" i="38"/>
  <c r="H12" i="38"/>
  <c r="D12" i="38"/>
  <c r="C12" i="38"/>
  <c r="AJ11" i="38"/>
  <c r="AI11" i="38"/>
  <c r="AH11" i="38"/>
  <c r="AG11" i="38"/>
  <c r="AF11" i="38"/>
  <c r="AE11" i="38"/>
  <c r="AD11" i="38"/>
  <c r="AC11" i="38"/>
  <c r="AB11" i="38"/>
  <c r="AA11" i="38"/>
  <c r="Z11" i="38"/>
  <c r="Y11" i="38"/>
  <c r="X11" i="38"/>
  <c r="W11" i="38"/>
  <c r="V11" i="38"/>
  <c r="U11" i="38"/>
  <c r="T11" i="38"/>
  <c r="S11" i="38"/>
  <c r="R11" i="38"/>
  <c r="Q11" i="38"/>
  <c r="P11" i="38"/>
  <c r="O11" i="38"/>
  <c r="N11" i="38"/>
  <c r="M11" i="38"/>
  <c r="L11" i="38"/>
  <c r="K11" i="38"/>
  <c r="J11" i="38"/>
  <c r="I11" i="38"/>
  <c r="H11" i="38"/>
  <c r="D11" i="38"/>
  <c r="C11" i="38"/>
  <c r="AJ10" i="38"/>
  <c r="AI10" i="38"/>
  <c r="AH10" i="38"/>
  <c r="AG10" i="38"/>
  <c r="AF10" i="38"/>
  <c r="AE10" i="38"/>
  <c r="AD10" i="38"/>
  <c r="AC10" i="38"/>
  <c r="AB10" i="38"/>
  <c r="AA10" i="38"/>
  <c r="Z10" i="38"/>
  <c r="Y10" i="38"/>
  <c r="X10" i="38"/>
  <c r="W10" i="38"/>
  <c r="V10" i="38"/>
  <c r="U10" i="38"/>
  <c r="T10" i="38"/>
  <c r="S10" i="38"/>
  <c r="R10" i="38"/>
  <c r="Q10" i="38"/>
  <c r="P10" i="38"/>
  <c r="O10" i="38"/>
  <c r="N10" i="38"/>
  <c r="M10" i="38"/>
  <c r="L10" i="38"/>
  <c r="K10" i="38"/>
  <c r="J10" i="38"/>
  <c r="I10" i="38"/>
  <c r="H10" i="38"/>
  <c r="D10" i="38"/>
  <c r="C10" i="38"/>
  <c r="AJ9" i="38"/>
  <c r="AI9" i="38"/>
  <c r="AH9" i="38"/>
  <c r="AG9" i="38"/>
  <c r="AF9" i="38"/>
  <c r="AE9" i="38"/>
  <c r="AD9" i="38"/>
  <c r="AC9" i="38"/>
  <c r="AB9" i="38"/>
  <c r="AA9" i="38"/>
  <c r="Z9" i="38"/>
  <c r="Y9" i="38"/>
  <c r="X9" i="38"/>
  <c r="W9" i="38"/>
  <c r="V9" i="38"/>
  <c r="U9" i="38"/>
  <c r="T9" i="38"/>
  <c r="S9" i="38"/>
  <c r="R9" i="38"/>
  <c r="Q9" i="38"/>
  <c r="P9" i="38"/>
  <c r="O9" i="38"/>
  <c r="N9" i="38"/>
  <c r="M9" i="38"/>
  <c r="L9" i="38"/>
  <c r="K9" i="38"/>
  <c r="J9" i="38"/>
  <c r="I9" i="38"/>
  <c r="H9" i="38"/>
  <c r="D9" i="38"/>
  <c r="C9" i="38"/>
  <c r="AJ8" i="38"/>
  <c r="AI8" i="38"/>
  <c r="AH8" i="38"/>
  <c r="AG8" i="38"/>
  <c r="AF8" i="38"/>
  <c r="AE8" i="38"/>
  <c r="AD8" i="38"/>
  <c r="AC8" i="38"/>
  <c r="AB8" i="38"/>
  <c r="AA8" i="38"/>
  <c r="Z8" i="38"/>
  <c r="Y8" i="38"/>
  <c r="X8" i="38"/>
  <c r="W8" i="38"/>
  <c r="V8" i="38"/>
  <c r="U8" i="38"/>
  <c r="T8" i="38"/>
  <c r="S8" i="38"/>
  <c r="R8" i="38"/>
  <c r="Q8" i="38"/>
  <c r="P8" i="38"/>
  <c r="O8" i="38"/>
  <c r="N8" i="38"/>
  <c r="M8" i="38"/>
  <c r="L8" i="38"/>
  <c r="K8" i="38"/>
  <c r="J8" i="38"/>
  <c r="I8" i="38"/>
  <c r="H8" i="38"/>
  <c r="D8" i="38"/>
  <c r="C8" i="38"/>
  <c r="AJ7" i="38"/>
  <c r="AI7" i="38"/>
  <c r="AH7" i="38"/>
  <c r="AG7" i="38"/>
  <c r="AF7" i="38"/>
  <c r="AE7" i="38"/>
  <c r="AD7" i="38"/>
  <c r="AC7" i="38"/>
  <c r="AB7" i="38"/>
  <c r="AA7" i="38"/>
  <c r="Z7" i="38"/>
  <c r="Y7" i="38"/>
  <c r="X7" i="38"/>
  <c r="W7" i="38"/>
  <c r="V7" i="38"/>
  <c r="U7" i="38"/>
  <c r="T7" i="38"/>
  <c r="S7" i="38"/>
  <c r="R7" i="38"/>
  <c r="Q7" i="38"/>
  <c r="P7" i="38"/>
  <c r="O7" i="38"/>
  <c r="N7" i="38"/>
  <c r="M7" i="38"/>
  <c r="L7" i="38"/>
  <c r="K7" i="38"/>
  <c r="J7" i="38"/>
  <c r="I7" i="38"/>
  <c r="H7" i="38"/>
  <c r="D7" i="38"/>
  <c r="C7" i="38"/>
  <c r="AJ6" i="38"/>
  <c r="AI6" i="38"/>
  <c r="AH6" i="38"/>
  <c r="AG6" i="38"/>
  <c r="AF6" i="38"/>
  <c r="AE6" i="38"/>
  <c r="AD6" i="38"/>
  <c r="AC6" i="38"/>
  <c r="AB6" i="38"/>
  <c r="AA6" i="38"/>
  <c r="Z6" i="38"/>
  <c r="Y6" i="38"/>
  <c r="X6" i="38"/>
  <c r="W6" i="38"/>
  <c r="V6" i="38"/>
  <c r="U6" i="38"/>
  <c r="T6" i="38"/>
  <c r="S6" i="38"/>
  <c r="R6" i="38"/>
  <c r="Q6" i="38"/>
  <c r="P6" i="38"/>
  <c r="O6" i="38"/>
  <c r="N6" i="38"/>
  <c r="M6" i="38"/>
  <c r="L6" i="38"/>
  <c r="K6" i="38"/>
  <c r="J6" i="38"/>
  <c r="I6" i="38"/>
  <c r="H6" i="38"/>
  <c r="D6" i="38"/>
  <c r="C6" i="38"/>
  <c r="AJ5" i="38"/>
  <c r="AI5" i="38"/>
  <c r="AH5" i="38"/>
  <c r="AG5" i="38"/>
  <c r="AF5" i="38"/>
  <c r="AE5" i="38"/>
  <c r="AD5" i="38"/>
  <c r="AC5" i="38"/>
  <c r="AB5" i="38"/>
  <c r="AA5" i="38"/>
  <c r="Z5" i="38"/>
  <c r="Y5" i="38"/>
  <c r="X5" i="38"/>
  <c r="W5" i="38"/>
  <c r="V5" i="38"/>
  <c r="U5" i="38"/>
  <c r="T5" i="38"/>
  <c r="S5" i="38"/>
  <c r="R5" i="38"/>
  <c r="Q5" i="38"/>
  <c r="P5" i="38"/>
  <c r="O5" i="38"/>
  <c r="N5" i="38"/>
  <c r="M5" i="38"/>
  <c r="L5" i="38"/>
  <c r="K5" i="38"/>
  <c r="J5" i="38"/>
  <c r="I5" i="38"/>
  <c r="H5" i="38"/>
  <c r="D5" i="38"/>
  <c r="C5" i="38"/>
  <c r="AJ4" i="38"/>
  <c r="AI4" i="38"/>
  <c r="AH4" i="38"/>
  <c r="AG4" i="38"/>
  <c r="AF4" i="38"/>
  <c r="AE4" i="38"/>
  <c r="AD4" i="38"/>
  <c r="AC4" i="38"/>
  <c r="AB4" i="38"/>
  <c r="AA4" i="38"/>
  <c r="Z4" i="38"/>
  <c r="Y4" i="38"/>
  <c r="X4" i="38"/>
  <c r="W4" i="38"/>
  <c r="V4" i="38"/>
  <c r="U4" i="38"/>
  <c r="T4" i="38"/>
  <c r="S4" i="38"/>
  <c r="R4" i="38"/>
  <c r="Q4" i="38"/>
  <c r="P4" i="38"/>
  <c r="O4" i="38"/>
  <c r="N4" i="38"/>
  <c r="M4" i="38"/>
  <c r="L4" i="38"/>
  <c r="K4" i="38"/>
  <c r="J4" i="38"/>
  <c r="I4" i="38"/>
  <c r="H4" i="38"/>
  <c r="D4" i="38"/>
  <c r="C4" i="38"/>
  <c r="AJ3" i="38"/>
  <c r="AI3" i="38"/>
  <c r="AH3" i="38"/>
  <c r="AG3" i="38"/>
  <c r="AF3" i="38"/>
  <c r="AE3" i="38"/>
  <c r="AD3" i="38"/>
  <c r="AC3" i="38"/>
  <c r="AB3" i="38"/>
  <c r="AA3" i="38"/>
  <c r="Z3" i="38"/>
  <c r="Y3" i="38"/>
  <c r="X3" i="38"/>
  <c r="W3" i="38"/>
  <c r="V3" i="38"/>
  <c r="U3" i="38"/>
  <c r="T3" i="38"/>
  <c r="S3" i="38"/>
  <c r="R3" i="38"/>
  <c r="Q3" i="38"/>
  <c r="P3" i="38"/>
  <c r="O3" i="38"/>
  <c r="N3" i="38"/>
  <c r="M3" i="38"/>
  <c r="L3" i="38"/>
  <c r="K3" i="38"/>
  <c r="J3" i="38"/>
  <c r="I3" i="38"/>
  <c r="H3" i="38"/>
  <c r="D3" i="38"/>
  <c r="C3" i="38"/>
  <c r="C2" i="38"/>
  <c r="B18" i="38"/>
  <c r="B17" i="38"/>
  <c r="B16" i="38"/>
  <c r="B15" i="38"/>
  <c r="B14" i="38"/>
  <c r="B13" i="38"/>
  <c r="B12" i="38"/>
  <c r="B11" i="38"/>
  <c r="B10" i="38"/>
  <c r="B9" i="38"/>
  <c r="B8" i="38"/>
  <c r="B7" i="38"/>
  <c r="B6" i="38"/>
  <c r="B5" i="38"/>
  <c r="B4" i="38"/>
  <c r="B3" i="38"/>
  <c r="C2" i="43"/>
  <c r="D2" i="43"/>
  <c r="H2" i="43"/>
  <c r="C18" i="43"/>
  <c r="C17" i="43"/>
  <c r="C16" i="43"/>
  <c r="C15" i="43"/>
  <c r="C14" i="43"/>
  <c r="C13" i="43"/>
  <c r="C12" i="43"/>
  <c r="C11" i="43"/>
  <c r="C10" i="43"/>
  <c r="C9" i="43"/>
  <c r="C8" i="43"/>
  <c r="C7" i="43"/>
  <c r="C6" i="43"/>
  <c r="AJ5" i="43"/>
  <c r="AI5" i="43"/>
  <c r="AH5" i="43"/>
  <c r="AG5" i="43"/>
  <c r="AF5" i="43"/>
  <c r="AE5" i="43"/>
  <c r="AD5" i="43"/>
  <c r="AC5" i="43"/>
  <c r="AB5" i="43"/>
  <c r="AA5" i="43"/>
  <c r="Z5" i="43"/>
  <c r="Y5" i="43"/>
  <c r="X5" i="43"/>
  <c r="W5" i="43"/>
  <c r="V5" i="43"/>
  <c r="U5" i="43"/>
  <c r="T5" i="43"/>
  <c r="S5" i="43"/>
  <c r="R5" i="43"/>
  <c r="Q5" i="43"/>
  <c r="P5" i="43"/>
  <c r="O5" i="43"/>
  <c r="N5" i="43"/>
  <c r="M5" i="43"/>
  <c r="L5" i="43"/>
  <c r="K5" i="43"/>
  <c r="C5" i="43"/>
  <c r="C4" i="43"/>
  <c r="AJ3" i="43"/>
  <c r="AI3" i="43"/>
  <c r="AH3" i="43"/>
  <c r="AG3" i="43"/>
  <c r="AF3" i="43"/>
  <c r="AE3" i="43"/>
  <c r="AD3" i="43"/>
  <c r="AC3" i="43"/>
  <c r="AB3" i="43"/>
  <c r="AA3" i="43"/>
  <c r="Z3" i="43"/>
  <c r="Y3" i="43"/>
  <c r="X3" i="43"/>
  <c r="W3" i="43"/>
  <c r="V3" i="43"/>
  <c r="U3" i="43"/>
  <c r="T3" i="43"/>
  <c r="S3" i="43"/>
  <c r="R3" i="43"/>
  <c r="Q3" i="43"/>
  <c r="P3" i="43"/>
  <c r="O3" i="43"/>
  <c r="N3" i="43"/>
  <c r="M3" i="43"/>
  <c r="L3" i="43"/>
  <c r="K3" i="43"/>
  <c r="J3" i="43"/>
  <c r="I3" i="43"/>
  <c r="H3" i="43"/>
  <c r="D3" i="43"/>
  <c r="C3" i="43"/>
  <c r="B3" i="43"/>
  <c r="A3" i="43"/>
  <c r="I2" i="43"/>
  <c r="AK19" i="16"/>
  <c r="AK18" i="16"/>
  <c r="AK17" i="16"/>
  <c r="AK16" i="16"/>
  <c r="AK15" i="16"/>
  <c r="AK14" i="16"/>
  <c r="AK13" i="16"/>
  <c r="AK12" i="16"/>
  <c r="AK11" i="16"/>
  <c r="AK10" i="16"/>
  <c r="AK9" i="16"/>
  <c r="AK8" i="16"/>
  <c r="AK7" i="16"/>
  <c r="AK6" i="16"/>
  <c r="AK5" i="16"/>
  <c r="AK4" i="16"/>
  <c r="AK3" i="16"/>
  <c r="AJ19" i="16"/>
  <c r="AJ18" i="16"/>
  <c r="AJ17" i="16"/>
  <c r="AJ16" i="16"/>
  <c r="AJ15" i="16"/>
  <c r="AJ14" i="16"/>
  <c r="AJ13" i="16"/>
  <c r="AJ12" i="16"/>
  <c r="AJ11" i="16"/>
  <c r="AJ10" i="16"/>
  <c r="AJ9" i="16"/>
  <c r="AJ8" i="16"/>
  <c r="AJ7" i="16"/>
  <c r="AJ6" i="16"/>
  <c r="AJ5" i="16"/>
  <c r="AJ4" i="16"/>
  <c r="AJ3" i="16"/>
  <c r="AI19" i="16"/>
  <c r="AI18" i="16"/>
  <c r="AI17" i="16"/>
  <c r="AI16" i="16"/>
  <c r="AI15" i="16"/>
  <c r="AI14" i="16"/>
  <c r="AI13" i="16"/>
  <c r="AI12" i="16"/>
  <c r="AI11" i="16"/>
  <c r="AI10" i="16"/>
  <c r="AI9" i="16"/>
  <c r="AI8" i="16"/>
  <c r="AI7" i="16"/>
  <c r="AI6" i="16"/>
  <c r="AI5" i="16"/>
  <c r="AI4" i="16"/>
  <c r="AI3" i="16"/>
  <c r="J2" i="16"/>
  <c r="I2" i="16"/>
  <c r="G3" i="16"/>
  <c r="AH19" i="16"/>
  <c r="AG19" i="16"/>
  <c r="AF19" i="16"/>
  <c r="AE19" i="16"/>
  <c r="AD19" i="16"/>
  <c r="AC19" i="16"/>
  <c r="AB19" i="16"/>
  <c r="AA19" i="16"/>
  <c r="Z19" i="16"/>
  <c r="Y19" i="16"/>
  <c r="X19" i="16"/>
  <c r="W19" i="16"/>
  <c r="V19" i="16"/>
  <c r="U19" i="16"/>
  <c r="T19" i="16"/>
  <c r="S19" i="16"/>
  <c r="R19" i="16"/>
  <c r="Q19" i="16"/>
  <c r="P19" i="16"/>
  <c r="O19" i="16"/>
  <c r="N19" i="16"/>
  <c r="M19" i="16"/>
  <c r="L19" i="16"/>
  <c r="K19" i="16"/>
  <c r="J19" i="16"/>
  <c r="I19" i="16"/>
  <c r="H19" i="16"/>
  <c r="G19" i="16"/>
  <c r="AH18" i="16"/>
  <c r="AG18" i="16"/>
  <c r="AF18" i="16"/>
  <c r="AE18" i="16"/>
  <c r="AD18" i="16"/>
  <c r="AC18" i="16"/>
  <c r="AB18" i="16"/>
  <c r="AA18" i="16"/>
  <c r="Z18" i="16"/>
  <c r="Y18" i="16"/>
  <c r="X18" i="16"/>
  <c r="W18" i="16"/>
  <c r="V18" i="16"/>
  <c r="U18" i="16"/>
  <c r="T18" i="16"/>
  <c r="S18" i="16"/>
  <c r="R18" i="16"/>
  <c r="Q18" i="16"/>
  <c r="P18" i="16"/>
  <c r="O18" i="16"/>
  <c r="N18" i="16"/>
  <c r="M18" i="16"/>
  <c r="L18" i="16"/>
  <c r="K18" i="16"/>
  <c r="J18" i="16"/>
  <c r="I18" i="16"/>
  <c r="H18" i="16"/>
  <c r="G18" i="16"/>
  <c r="AH17" i="16"/>
  <c r="AG17" i="16"/>
  <c r="AF17" i="16"/>
  <c r="AE17" i="16"/>
  <c r="AD17" i="16"/>
  <c r="AC17" i="16"/>
  <c r="AB17" i="16"/>
  <c r="AA17" i="16"/>
  <c r="Z17" i="16"/>
  <c r="Y17" i="16"/>
  <c r="X17" i="16"/>
  <c r="W17" i="16"/>
  <c r="V17" i="16"/>
  <c r="U17" i="16"/>
  <c r="T17" i="16"/>
  <c r="S17" i="16"/>
  <c r="R17" i="16"/>
  <c r="Q17" i="16"/>
  <c r="P17" i="16"/>
  <c r="O17" i="16"/>
  <c r="N17" i="16"/>
  <c r="M17" i="16"/>
  <c r="L17" i="16"/>
  <c r="K17" i="16"/>
  <c r="J17" i="16"/>
  <c r="I17" i="16"/>
  <c r="H17" i="16"/>
  <c r="G17" i="16"/>
  <c r="AH16" i="16"/>
  <c r="AG16" i="16"/>
  <c r="AF16" i="16"/>
  <c r="AE16" i="16"/>
  <c r="AD16" i="16"/>
  <c r="AC16" i="16"/>
  <c r="AB16" i="16"/>
  <c r="AA16" i="16"/>
  <c r="Z16" i="16"/>
  <c r="Y16" i="16"/>
  <c r="X16" i="16"/>
  <c r="W16" i="16"/>
  <c r="V16" i="16"/>
  <c r="U16" i="16"/>
  <c r="T16" i="16"/>
  <c r="S16" i="16"/>
  <c r="R16" i="16"/>
  <c r="Q16" i="16"/>
  <c r="P16" i="16"/>
  <c r="O16" i="16"/>
  <c r="N16" i="16"/>
  <c r="M16" i="16"/>
  <c r="L16" i="16"/>
  <c r="K16" i="16"/>
  <c r="J16" i="16"/>
  <c r="I16" i="16"/>
  <c r="H16" i="16"/>
  <c r="G16" i="16"/>
  <c r="AH15" i="16"/>
  <c r="AG15" i="16"/>
  <c r="AF15" i="16"/>
  <c r="AE15" i="16"/>
  <c r="AD15" i="16"/>
  <c r="AC15" i="16"/>
  <c r="AB15" i="16"/>
  <c r="AA15" i="16"/>
  <c r="Z15" i="16"/>
  <c r="Y15" i="16"/>
  <c r="X15" i="16"/>
  <c r="W15" i="16"/>
  <c r="V15" i="16"/>
  <c r="U15" i="16"/>
  <c r="T15" i="16"/>
  <c r="S15" i="16"/>
  <c r="R15" i="16"/>
  <c r="Q15" i="16"/>
  <c r="P15" i="16"/>
  <c r="O15" i="16"/>
  <c r="N15" i="16"/>
  <c r="M15" i="16"/>
  <c r="L15" i="16"/>
  <c r="K15" i="16"/>
  <c r="J15" i="16"/>
  <c r="I15" i="16"/>
  <c r="H15" i="16"/>
  <c r="G15" i="16"/>
  <c r="AH14" i="16"/>
  <c r="AG14" i="16"/>
  <c r="AF14" i="16"/>
  <c r="AE14" i="16"/>
  <c r="AD14" i="16"/>
  <c r="AC14" i="16"/>
  <c r="AB14" i="16"/>
  <c r="AA14" i="16"/>
  <c r="Z14" i="16"/>
  <c r="Y14" i="16"/>
  <c r="X14" i="16"/>
  <c r="W14" i="16"/>
  <c r="V14" i="16"/>
  <c r="U14" i="16"/>
  <c r="T14" i="16"/>
  <c r="S14" i="16"/>
  <c r="R14" i="16"/>
  <c r="Q14" i="16"/>
  <c r="P14" i="16"/>
  <c r="O14" i="16"/>
  <c r="N14" i="16"/>
  <c r="M14" i="16"/>
  <c r="L14" i="16"/>
  <c r="K14" i="16"/>
  <c r="J14" i="16"/>
  <c r="I14" i="16"/>
  <c r="H14" i="16"/>
  <c r="G14" i="16"/>
  <c r="AH13" i="16"/>
  <c r="AG13" i="16"/>
  <c r="AF13" i="16"/>
  <c r="AE13" i="16"/>
  <c r="AD13" i="16"/>
  <c r="AC13" i="16"/>
  <c r="AB13" i="16"/>
  <c r="AA13" i="16"/>
  <c r="Z13" i="16"/>
  <c r="Y13" i="16"/>
  <c r="X13" i="16"/>
  <c r="W13" i="16"/>
  <c r="V13" i="16"/>
  <c r="U13" i="16"/>
  <c r="T13" i="16"/>
  <c r="S13" i="16"/>
  <c r="R13" i="16"/>
  <c r="Q13" i="16"/>
  <c r="P13" i="16"/>
  <c r="O13" i="16"/>
  <c r="N13" i="16"/>
  <c r="M13" i="16"/>
  <c r="L13" i="16"/>
  <c r="K13" i="16"/>
  <c r="J13" i="16"/>
  <c r="I13" i="16"/>
  <c r="H13" i="16"/>
  <c r="G13" i="16"/>
  <c r="AH12" i="16"/>
  <c r="AG12" i="16"/>
  <c r="AF12" i="16"/>
  <c r="AE12" i="16"/>
  <c r="AD12" i="16"/>
  <c r="AC12" i="16"/>
  <c r="AB12" i="16"/>
  <c r="AA12" i="16"/>
  <c r="Z12" i="16"/>
  <c r="Y12" i="16"/>
  <c r="X12" i="16"/>
  <c r="W12" i="16"/>
  <c r="V12" i="16"/>
  <c r="U12" i="16"/>
  <c r="T12" i="16"/>
  <c r="S12" i="16"/>
  <c r="R12" i="16"/>
  <c r="Q12" i="16"/>
  <c r="P12" i="16"/>
  <c r="O12" i="16"/>
  <c r="N12" i="16"/>
  <c r="M12" i="16"/>
  <c r="L12" i="16"/>
  <c r="K12" i="16"/>
  <c r="J12" i="16"/>
  <c r="I12" i="16"/>
  <c r="H12" i="16"/>
  <c r="G12" i="16"/>
  <c r="AH11" i="16"/>
  <c r="AG11" i="16"/>
  <c r="AF11" i="16"/>
  <c r="AE11" i="16"/>
  <c r="AD11" i="16"/>
  <c r="AC11" i="16"/>
  <c r="AB11" i="16"/>
  <c r="AA11" i="16"/>
  <c r="Z11" i="16"/>
  <c r="Y11" i="16"/>
  <c r="X11" i="16"/>
  <c r="W11" i="16"/>
  <c r="V11" i="16"/>
  <c r="U11" i="16"/>
  <c r="T11" i="16"/>
  <c r="S11" i="16"/>
  <c r="R11" i="16"/>
  <c r="Q11" i="16"/>
  <c r="P11" i="16"/>
  <c r="O11" i="16"/>
  <c r="N11" i="16"/>
  <c r="M11" i="16"/>
  <c r="L11" i="16"/>
  <c r="K11" i="16"/>
  <c r="J11" i="16"/>
  <c r="I11" i="16"/>
  <c r="H11" i="16"/>
  <c r="G11" i="16"/>
  <c r="AH10" i="16"/>
  <c r="AG10" i="16"/>
  <c r="AF10" i="16"/>
  <c r="AE10" i="16"/>
  <c r="AD10" i="16"/>
  <c r="AC10" i="16"/>
  <c r="AB10" i="16"/>
  <c r="AA10" i="16"/>
  <c r="Z10" i="16"/>
  <c r="Y10" i="16"/>
  <c r="X10" i="16"/>
  <c r="W10" i="16"/>
  <c r="V10" i="16"/>
  <c r="U10" i="16"/>
  <c r="T10" i="16"/>
  <c r="S10" i="16"/>
  <c r="R10" i="16"/>
  <c r="Q10" i="16"/>
  <c r="P10" i="16"/>
  <c r="O10" i="16"/>
  <c r="N10" i="16"/>
  <c r="M10" i="16"/>
  <c r="L10" i="16"/>
  <c r="K10" i="16"/>
  <c r="J10" i="16"/>
  <c r="I10" i="16"/>
  <c r="H10" i="16"/>
  <c r="G10" i="16"/>
  <c r="AH9" i="16"/>
  <c r="AG9" i="16"/>
  <c r="AF9" i="16"/>
  <c r="AE9" i="16"/>
  <c r="AD9" i="16"/>
  <c r="AC9" i="16"/>
  <c r="AB9" i="16"/>
  <c r="AA9" i="16"/>
  <c r="Z9" i="16"/>
  <c r="Y9" i="16"/>
  <c r="X9" i="16"/>
  <c r="W9" i="16"/>
  <c r="V9" i="16"/>
  <c r="U9" i="16"/>
  <c r="T9" i="16"/>
  <c r="S9" i="16"/>
  <c r="R9" i="16"/>
  <c r="Q9" i="16"/>
  <c r="P9" i="16"/>
  <c r="O9" i="16"/>
  <c r="N9" i="16"/>
  <c r="M9" i="16"/>
  <c r="L9" i="16"/>
  <c r="K9" i="16"/>
  <c r="J9" i="16"/>
  <c r="I9" i="16"/>
  <c r="H9" i="16"/>
  <c r="G9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J8" i="16"/>
  <c r="I8" i="16"/>
  <c r="H8" i="16"/>
  <c r="G8" i="16"/>
  <c r="AH7" i="16"/>
  <c r="AG7" i="16"/>
  <c r="AF7" i="16"/>
  <c r="AE7" i="16"/>
  <c r="AD7" i="16"/>
  <c r="AC7" i="16"/>
  <c r="AB7" i="16"/>
  <c r="AA7" i="16"/>
  <c r="Z7" i="16"/>
  <c r="Y7" i="16"/>
  <c r="X7" i="16"/>
  <c r="W7" i="16"/>
  <c r="V7" i="16"/>
  <c r="U7" i="16"/>
  <c r="T7" i="16"/>
  <c r="S7" i="16"/>
  <c r="R7" i="16"/>
  <c r="Q7" i="16"/>
  <c r="P7" i="16"/>
  <c r="O7" i="16"/>
  <c r="N7" i="16"/>
  <c r="M7" i="16"/>
  <c r="L7" i="16"/>
  <c r="K7" i="16"/>
  <c r="J7" i="16"/>
  <c r="I7" i="16"/>
  <c r="H7" i="16"/>
  <c r="G7" i="16"/>
  <c r="AH6" i="16"/>
  <c r="AG6" i="16"/>
  <c r="AF6" i="16"/>
  <c r="AE6" i="16"/>
  <c r="AD6" i="16"/>
  <c r="AC6" i="16"/>
  <c r="AB6" i="16"/>
  <c r="AA6" i="16"/>
  <c r="Z6" i="16"/>
  <c r="Y6" i="16"/>
  <c r="X6" i="16"/>
  <c r="W6" i="16"/>
  <c r="V6" i="16"/>
  <c r="U6" i="16"/>
  <c r="T6" i="16"/>
  <c r="S6" i="16"/>
  <c r="R6" i="16"/>
  <c r="Q6" i="16"/>
  <c r="P6" i="16"/>
  <c r="O6" i="16"/>
  <c r="N6" i="16"/>
  <c r="M6" i="16"/>
  <c r="L6" i="16"/>
  <c r="K6" i="16"/>
  <c r="J6" i="16"/>
  <c r="I6" i="16"/>
  <c r="H6" i="16"/>
  <c r="G6" i="16"/>
  <c r="AH5" i="16"/>
  <c r="AG5" i="16"/>
  <c r="AF5" i="16"/>
  <c r="AE5" i="16"/>
  <c r="AD5" i="16"/>
  <c r="AC5" i="16"/>
  <c r="AB5" i="16"/>
  <c r="AA5" i="16"/>
  <c r="Z5" i="16"/>
  <c r="Y5" i="16"/>
  <c r="X5" i="16"/>
  <c r="W5" i="16"/>
  <c r="V5" i="16"/>
  <c r="U5" i="16"/>
  <c r="T5" i="16"/>
  <c r="S5" i="16"/>
  <c r="R5" i="16"/>
  <c r="Q5" i="16"/>
  <c r="P5" i="16"/>
  <c r="O5" i="16"/>
  <c r="N5" i="16"/>
  <c r="M5" i="16"/>
  <c r="L5" i="16"/>
  <c r="K5" i="16"/>
  <c r="J5" i="16"/>
  <c r="I5" i="16"/>
  <c r="H5" i="16"/>
  <c r="G5" i="16"/>
  <c r="AH4" i="16"/>
  <c r="AG4" i="16"/>
  <c r="AF4" i="16"/>
  <c r="AE4" i="16"/>
  <c r="AD4" i="16"/>
  <c r="AC4" i="16"/>
  <c r="AB4" i="16"/>
  <c r="AA4" i="16"/>
  <c r="Z4" i="16"/>
  <c r="Y4" i="16"/>
  <c r="X4" i="16"/>
  <c r="W4" i="16"/>
  <c r="V4" i="16"/>
  <c r="U4" i="16"/>
  <c r="T4" i="16"/>
  <c r="S4" i="16"/>
  <c r="R4" i="16"/>
  <c r="Q4" i="16"/>
  <c r="P4" i="16"/>
  <c r="O4" i="16"/>
  <c r="N4" i="16"/>
  <c r="M4" i="16"/>
  <c r="L4" i="16"/>
  <c r="K4" i="16"/>
  <c r="J4" i="16"/>
  <c r="I4" i="16"/>
  <c r="H4" i="16"/>
  <c r="G4" i="16"/>
  <c r="AH3" i="16"/>
  <c r="AG3" i="16"/>
  <c r="AF3" i="16"/>
  <c r="AE3" i="16"/>
  <c r="AD3" i="16"/>
  <c r="AC3" i="16"/>
  <c r="AB3" i="16"/>
  <c r="AA3" i="16"/>
  <c r="Z3" i="16"/>
  <c r="Y3" i="16"/>
  <c r="X3" i="16"/>
  <c r="W3" i="16"/>
  <c r="V3" i="16"/>
  <c r="U3" i="16"/>
  <c r="T3" i="16"/>
  <c r="S3" i="16"/>
  <c r="R3" i="16"/>
  <c r="Q3" i="16"/>
  <c r="P3" i="16"/>
  <c r="O3" i="16"/>
  <c r="N3" i="16"/>
  <c r="M3" i="16"/>
  <c r="L3" i="16"/>
  <c r="K3" i="16"/>
  <c r="J3" i="16"/>
  <c r="I3" i="16"/>
  <c r="H3" i="16"/>
  <c r="H2" i="16"/>
  <c r="G2" i="16"/>
  <c r="B19" i="16"/>
  <c r="A19" i="16"/>
  <c r="B18" i="16"/>
  <c r="A18" i="16"/>
  <c r="B17" i="16"/>
  <c r="A17" i="16"/>
  <c r="B16" i="16"/>
  <c r="A16" i="16"/>
  <c r="B15" i="16"/>
  <c r="A15" i="16"/>
  <c r="B14" i="16"/>
  <c r="A14" i="16"/>
  <c r="B13" i="16"/>
  <c r="A13" i="16"/>
  <c r="B12" i="16"/>
  <c r="A12" i="16"/>
  <c r="B11" i="16"/>
  <c r="A11" i="16"/>
  <c r="B10" i="16"/>
  <c r="A10" i="16"/>
  <c r="B9" i="16"/>
  <c r="A9" i="16"/>
  <c r="B8" i="16"/>
  <c r="A8" i="16"/>
  <c r="B7" i="16"/>
  <c r="A7" i="16"/>
  <c r="B6" i="16"/>
  <c r="A6" i="16"/>
  <c r="B5" i="16"/>
  <c r="A5" i="16"/>
  <c r="B4" i="16"/>
  <c r="A4" i="16"/>
  <c r="A3" i="38"/>
  <c r="B3" i="16"/>
  <c r="A3" i="16"/>
  <c r="R6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T7" i="17" s="1"/>
  <c r="C7" i="17"/>
  <c r="P12" i="17"/>
  <c r="P11" i="17"/>
  <c r="P10" i="17"/>
  <c r="P9" i="17"/>
  <c r="P8" i="17"/>
  <c r="P6" i="17"/>
  <c r="R18" i="17"/>
  <c r="Q18" i="17"/>
  <c r="P18" i="17"/>
  <c r="O18" i="17"/>
  <c r="N18" i="17"/>
  <c r="M18" i="17"/>
  <c r="L18" i="17"/>
  <c r="K18" i="17"/>
  <c r="J18" i="17"/>
  <c r="I18" i="17"/>
  <c r="H18" i="17"/>
  <c r="G18" i="17"/>
  <c r="F18" i="17"/>
  <c r="E18" i="17"/>
  <c r="S18" i="17" s="1"/>
  <c r="D18" i="17"/>
  <c r="T18" i="17" s="1"/>
  <c r="C18" i="17"/>
  <c r="B18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F17" i="17"/>
  <c r="E17" i="17"/>
  <c r="D17" i="17"/>
  <c r="C17" i="17"/>
  <c r="B17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S16" i="17" s="1"/>
  <c r="B16" i="17"/>
  <c r="R15" i="17"/>
  <c r="Q15" i="17"/>
  <c r="P15" i="17"/>
  <c r="O15" i="17"/>
  <c r="N15" i="17"/>
  <c r="M15" i="17"/>
  <c r="L15" i="17"/>
  <c r="K15" i="17"/>
  <c r="J15" i="17"/>
  <c r="I15" i="17"/>
  <c r="H15" i="17"/>
  <c r="U15" i="17" s="1"/>
  <c r="G15" i="17"/>
  <c r="F15" i="17"/>
  <c r="E15" i="17"/>
  <c r="D15" i="17"/>
  <c r="T15" i="17" s="1"/>
  <c r="C15" i="17"/>
  <c r="B15" i="17"/>
  <c r="R14" i="17"/>
  <c r="Q14" i="17"/>
  <c r="P14" i="17"/>
  <c r="O14" i="17"/>
  <c r="N14" i="17"/>
  <c r="M14" i="17"/>
  <c r="L14" i="17"/>
  <c r="K14" i="17"/>
  <c r="J14" i="17"/>
  <c r="I14" i="17"/>
  <c r="H14" i="17"/>
  <c r="G14" i="17"/>
  <c r="F14" i="17"/>
  <c r="E14" i="17"/>
  <c r="D14" i="17"/>
  <c r="C14" i="17"/>
  <c r="B14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R12" i="17"/>
  <c r="Q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C11" i="17"/>
  <c r="B12" i="17"/>
  <c r="R11" i="17"/>
  <c r="Q11" i="17"/>
  <c r="O11" i="17"/>
  <c r="N11" i="17"/>
  <c r="M11" i="17"/>
  <c r="L11" i="17"/>
  <c r="K11" i="17"/>
  <c r="J11" i="17"/>
  <c r="I11" i="17"/>
  <c r="U11" i="17" s="1"/>
  <c r="H11" i="17"/>
  <c r="G11" i="17"/>
  <c r="F11" i="17"/>
  <c r="E11" i="17"/>
  <c r="D11" i="17"/>
  <c r="B11" i="17"/>
  <c r="R10" i="17"/>
  <c r="Q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R9" i="17"/>
  <c r="Q9" i="17"/>
  <c r="O9" i="17"/>
  <c r="N9" i="17"/>
  <c r="M9" i="17"/>
  <c r="L9" i="17"/>
  <c r="K9" i="17"/>
  <c r="J9" i="17"/>
  <c r="I9" i="17"/>
  <c r="H9" i="17"/>
  <c r="U9" i="17" s="1"/>
  <c r="G9" i="17"/>
  <c r="F9" i="17"/>
  <c r="E9" i="17"/>
  <c r="D9" i="17"/>
  <c r="C9" i="17"/>
  <c r="B9" i="17"/>
  <c r="B8" i="17"/>
  <c r="F8" i="17"/>
  <c r="R8" i="17"/>
  <c r="Q8" i="17"/>
  <c r="O8" i="17"/>
  <c r="N8" i="17"/>
  <c r="M8" i="17"/>
  <c r="L8" i="17"/>
  <c r="C8" i="17"/>
  <c r="K8" i="17"/>
  <c r="J8" i="17"/>
  <c r="I8" i="17"/>
  <c r="H8" i="17"/>
  <c r="G8" i="17"/>
  <c r="E8" i="17"/>
  <c r="D8" i="17"/>
  <c r="T8" i="17" s="1"/>
  <c r="R5" i="17"/>
  <c r="R4" i="17"/>
  <c r="P4" i="17"/>
  <c r="P5" i="17"/>
  <c r="Q6" i="17"/>
  <c r="O6" i="17"/>
  <c r="N6" i="17"/>
  <c r="M6" i="17"/>
  <c r="L6" i="17"/>
  <c r="K6" i="17"/>
  <c r="J6" i="17"/>
  <c r="I6" i="17"/>
  <c r="H6" i="17"/>
  <c r="G6" i="17"/>
  <c r="F6" i="17"/>
  <c r="E6" i="17"/>
  <c r="D6" i="17"/>
  <c r="C6" i="17"/>
  <c r="B6" i="17"/>
  <c r="Q5" i="17"/>
  <c r="O5" i="17"/>
  <c r="N5" i="17"/>
  <c r="M5" i="17"/>
  <c r="L5" i="17"/>
  <c r="K5" i="17"/>
  <c r="J5" i="17"/>
  <c r="I5" i="17"/>
  <c r="H5" i="17"/>
  <c r="G5" i="17"/>
  <c r="F5" i="17"/>
  <c r="E5" i="17"/>
  <c r="D5" i="17"/>
  <c r="C5" i="17"/>
  <c r="B5" i="17"/>
  <c r="B7" i="17"/>
  <c r="R3" i="17"/>
  <c r="Q4" i="17"/>
  <c r="Q3" i="17"/>
  <c r="P3" i="17"/>
  <c r="O4" i="17"/>
  <c r="O3" i="17"/>
  <c r="N4" i="17"/>
  <c r="N3" i="17"/>
  <c r="M3" i="17"/>
  <c r="M4" i="17"/>
  <c r="L3" i="17"/>
  <c r="L4" i="17"/>
  <c r="K3" i="17"/>
  <c r="K4" i="17"/>
  <c r="J3" i="17"/>
  <c r="J4" i="17"/>
  <c r="I4" i="17"/>
  <c r="H4" i="17"/>
  <c r="G4" i="17"/>
  <c r="F4" i="17"/>
  <c r="E4" i="17"/>
  <c r="D4" i="17"/>
  <c r="T4" i="17" s="1"/>
  <c r="C4" i="17"/>
  <c r="B4" i="17"/>
  <c r="I3" i="17"/>
  <c r="H3" i="17"/>
  <c r="G3" i="17"/>
  <c r="F3" i="17"/>
  <c r="E3" i="17"/>
  <c r="D3" i="17"/>
  <c r="C3" i="17"/>
  <c r="B3" i="17"/>
  <c r="S17" i="17"/>
  <c r="U10" i="17"/>
  <c r="S12" i="17" l="1"/>
  <c r="S13" i="17"/>
  <c r="S15" i="17"/>
  <c r="T9" i="17"/>
  <c r="S11" i="17"/>
  <c r="T12" i="17"/>
  <c r="U12" i="17"/>
  <c r="L2" i="15"/>
  <c r="U3" i="17"/>
  <c r="U14" i="17"/>
  <c r="S7" i="17"/>
  <c r="V7" i="17" s="1"/>
  <c r="S4" i="17"/>
  <c r="T5" i="17"/>
  <c r="T16" i="17"/>
  <c r="V12" i="17"/>
  <c r="U17" i="17"/>
  <c r="U4" i="17"/>
  <c r="J2" i="38"/>
  <c r="U5" i="17"/>
  <c r="T17" i="17"/>
  <c r="U18" i="17"/>
  <c r="S8" i="17"/>
  <c r="V8" i="17" s="1"/>
  <c r="S9" i="17"/>
  <c r="T11" i="17"/>
  <c r="V11" i="17" s="1"/>
  <c r="U13" i="17"/>
  <c r="S6" i="17"/>
  <c r="T13" i="17"/>
  <c r="V13" i="17" s="1"/>
  <c r="U6" i="17"/>
  <c r="U8" i="17"/>
  <c r="U16" i="17"/>
  <c r="U7" i="17"/>
  <c r="T3" i="17"/>
  <c r="S5" i="17"/>
  <c r="V5" i="17" s="1"/>
  <c r="T6" i="17"/>
  <c r="T10" i="17"/>
  <c r="T14" i="17"/>
  <c r="S3" i="17"/>
  <c r="S10" i="17"/>
  <c r="S14" i="17"/>
  <c r="V4" i="17"/>
  <c r="V14" i="17" l="1"/>
  <c r="J2" i="43"/>
  <c r="V9" i="17"/>
  <c r="K2" i="16"/>
  <c r="V3" i="17"/>
  <c r="M2" i="15"/>
  <c r="K2" i="38" s="1"/>
  <c r="V6" i="17"/>
  <c r="N2" i="15"/>
  <c r="K2" i="43"/>
  <c r="V10" i="17"/>
  <c r="L2" i="16" l="1"/>
  <c r="O2" i="15"/>
  <c r="L2" i="38"/>
  <c r="M2" i="16"/>
  <c r="L2" i="43"/>
  <c r="N2" i="16" l="1"/>
  <c r="M2" i="43"/>
  <c r="P2" i="15"/>
  <c r="M2" i="38"/>
  <c r="N2" i="43" l="1"/>
  <c r="Q2" i="15"/>
  <c r="N2" i="38"/>
  <c r="O2" i="16"/>
  <c r="R2" i="15" l="1"/>
  <c r="O2" i="38"/>
  <c r="P2" i="16"/>
  <c r="O2" i="43"/>
  <c r="S2" i="15" l="1"/>
  <c r="P2" i="38"/>
  <c r="Q2" i="16"/>
  <c r="P2" i="43"/>
  <c r="R2" i="16" l="1"/>
  <c r="Q2" i="43"/>
  <c r="T2" i="15"/>
  <c r="Q2" i="38"/>
  <c r="S2" i="16" l="1"/>
  <c r="U2" i="15"/>
  <c r="R2" i="38"/>
  <c r="R2" i="43"/>
  <c r="V2" i="15" l="1"/>
  <c r="S2" i="38"/>
  <c r="S2" i="43"/>
  <c r="T2" i="16"/>
  <c r="T2" i="38" l="1"/>
  <c r="W2" i="15"/>
  <c r="U2" i="16"/>
  <c r="T2" i="43"/>
  <c r="U2" i="43" l="1"/>
  <c r="X2" i="15"/>
  <c r="U2" i="38"/>
  <c r="V2" i="16"/>
  <c r="V2" i="43" l="1"/>
  <c r="Y2" i="15"/>
  <c r="V2" i="38"/>
  <c r="W2" i="16"/>
  <c r="Z2" i="15" l="1"/>
  <c r="X2" i="16"/>
  <c r="W2" i="43"/>
  <c r="W2" i="38"/>
  <c r="AA2" i="15" l="1"/>
  <c r="X2" i="38"/>
  <c r="Y2" i="16"/>
  <c r="X2" i="43"/>
  <c r="Y2" i="43" l="1"/>
  <c r="AB2" i="15"/>
  <c r="Y2" i="38"/>
  <c r="Z2" i="16"/>
  <c r="AC2" i="15" l="1"/>
  <c r="Z2" i="43"/>
  <c r="Z2" i="38"/>
  <c r="AA2" i="16"/>
  <c r="AD2" i="15" l="1"/>
  <c r="AA2" i="38"/>
  <c r="AA2" i="43"/>
  <c r="AB2" i="16"/>
  <c r="AB2" i="43" l="1"/>
  <c r="AE2" i="15"/>
  <c r="AB2" i="38"/>
  <c r="AC2" i="16"/>
  <c r="AD2" i="16" l="1"/>
  <c r="AC2" i="43"/>
  <c r="AF2" i="15"/>
  <c r="AC2" i="38"/>
  <c r="AD2" i="43" l="1"/>
  <c r="AE2" i="16"/>
  <c r="AG2" i="15"/>
  <c r="AD2" i="38"/>
  <c r="AH2" i="15" l="1"/>
  <c r="AE2" i="38"/>
  <c r="AF2" i="16"/>
  <c r="AE2" i="43"/>
  <c r="AF2" i="38" l="1"/>
  <c r="AG2" i="16"/>
  <c r="AF2" i="43"/>
  <c r="AI2" i="15"/>
  <c r="AH2" i="16" l="1"/>
  <c r="AG2" i="43"/>
  <c r="AJ2" i="15"/>
  <c r="AG2" i="38"/>
  <c r="AH2" i="43" l="1"/>
  <c r="AI2" i="16"/>
  <c r="AK2" i="15"/>
  <c r="AH2" i="38"/>
  <c r="AL2" i="15" l="1"/>
  <c r="AJ2" i="16"/>
  <c r="AI2" i="43"/>
  <c r="AI2" i="38"/>
  <c r="AJ2" i="38" l="1"/>
  <c r="AK2" i="16"/>
  <c r="AJ2" i="43"/>
</calcChain>
</file>

<file path=xl/sharedStrings.xml><?xml version="1.0" encoding="utf-8"?>
<sst xmlns="http://schemas.openxmlformats.org/spreadsheetml/2006/main" count="285" uniqueCount="105">
  <si>
    <t>F</t>
  </si>
  <si>
    <t>S</t>
  </si>
  <si>
    <t>M</t>
  </si>
  <si>
    <t>T</t>
  </si>
  <si>
    <t>W</t>
  </si>
  <si>
    <t xml:space="preserve"> </t>
  </si>
  <si>
    <t>James, Laura</t>
  </si>
  <si>
    <t>OFF</t>
  </si>
  <si>
    <t>FLOAT</t>
  </si>
  <si>
    <t>ROVE</t>
  </si>
  <si>
    <t>YRT1=&gt;BTH1</t>
  </si>
  <si>
    <t>YRT2=&gt;BTH2</t>
  </si>
  <si>
    <t>BTH1=&gt;YRT1</t>
  </si>
  <si>
    <t>BTH2=&gt;YRT2</t>
  </si>
  <si>
    <t>HINC</t>
  </si>
  <si>
    <t>VC=&gt; YRT3</t>
  </si>
  <si>
    <t xml:space="preserve">VC </t>
  </si>
  <si>
    <t>GM=&gt; VC</t>
  </si>
  <si>
    <t>AC=&gt; VC</t>
  </si>
  <si>
    <t>YRT3=&gt;BTH3</t>
  </si>
  <si>
    <t>VC=&gt; GM</t>
  </si>
  <si>
    <t xml:space="preserve">AC </t>
  </si>
  <si>
    <t>Days_On</t>
  </si>
  <si>
    <t>Stations</t>
  </si>
  <si>
    <t>Days</t>
  </si>
  <si>
    <t xml:space="preserve">YRT3 /VC </t>
  </si>
  <si>
    <t>Number Volunteers</t>
  </si>
  <si>
    <t>Number of Stations</t>
  </si>
  <si>
    <t>Station Ctr</t>
  </si>
  <si>
    <t>Station Names</t>
  </si>
  <si>
    <t>TOTAL</t>
  </si>
  <si>
    <t>NUMBER ASSIGNED</t>
  </si>
  <si>
    <t>Borean, RoxAnne</t>
  </si>
  <si>
    <t>Gaal, Rowland</t>
  </si>
  <si>
    <t>Gaal, Sharon</t>
  </si>
  <si>
    <t>Gierlach, Karen</t>
  </si>
  <si>
    <t>Griffin, Jim</t>
  </si>
  <si>
    <t>Harris, Carol</t>
  </si>
  <si>
    <t>Kalmick, Adrienne</t>
  </si>
  <si>
    <t>Love, William</t>
  </si>
  <si>
    <t>Mauro, Holly</t>
  </si>
  <si>
    <t>Olson, Johanna</t>
  </si>
  <si>
    <t xml:space="preserve">Schuller, Julie </t>
  </si>
  <si>
    <t>Sherertz, Dawn</t>
  </si>
  <si>
    <t>Johnson, MaryJane</t>
  </si>
  <si>
    <t>Johnson, Vern</t>
  </si>
  <si>
    <t>Greenwood, Katherine (Bup)</t>
  </si>
  <si>
    <t xml:space="preserve">VC=&gt;Mall Bus </t>
  </si>
  <si>
    <t>SUN</t>
  </si>
  <si>
    <t>MON</t>
  </si>
  <si>
    <t>TUE</t>
  </si>
  <si>
    <t>WED</t>
  </si>
  <si>
    <t>THU</t>
  </si>
  <si>
    <t>SAT</t>
  </si>
  <si>
    <t>Move Out</t>
  </si>
  <si>
    <t>Office Support</t>
  </si>
  <si>
    <t>YURT</t>
  </si>
  <si>
    <t>BOOTH</t>
  </si>
  <si>
    <t>FLOAT OR ROVE</t>
  </si>
  <si>
    <t>Fri</t>
  </si>
  <si>
    <t>Johnson</t>
  </si>
  <si>
    <t>MaryJane</t>
  </si>
  <si>
    <t>Working</t>
  </si>
  <si>
    <t>Off</t>
  </si>
  <si>
    <t>Firstname</t>
  </si>
  <si>
    <t>Lastname</t>
  </si>
  <si>
    <t>ORIENTATION</t>
  </si>
  <si>
    <t>Training</t>
  </si>
  <si>
    <t>Move In/Out</t>
  </si>
  <si>
    <t>2017 Visitor Information Month Schedule</t>
  </si>
  <si>
    <t>Yosemite Valley</t>
  </si>
  <si>
    <t>May</t>
  </si>
  <si>
    <t>Big Oak Flat</t>
  </si>
  <si>
    <t>June</t>
  </si>
  <si>
    <t>July</t>
  </si>
  <si>
    <t>August</t>
  </si>
  <si>
    <t>September</t>
  </si>
  <si>
    <t>Tuolumne Meadows</t>
  </si>
  <si>
    <t>Jun/Jul</t>
  </si>
  <si>
    <t>Wawona</t>
  </si>
  <si>
    <t>Jul/Aug</t>
  </si>
  <si>
    <t>Aug/Sept</t>
  </si>
  <si>
    <t>Transition</t>
  </si>
  <si>
    <t>ns</t>
  </si>
  <si>
    <t>HalfDomeVillage(1)</t>
  </si>
  <si>
    <t xml:space="preserve">Booth(1)/ VC </t>
  </si>
  <si>
    <t xml:space="preserve">Booth(2)/ VC </t>
  </si>
  <si>
    <t xml:space="preserve">VC(1)/ Booth </t>
  </si>
  <si>
    <t xml:space="preserve">VC(2)/ Booth  </t>
  </si>
  <si>
    <t>Stop 7(2)/ 5&amp;9</t>
  </si>
  <si>
    <t>Stop 7(2)</t>
  </si>
  <si>
    <t>5&amp;9(1)/ Stop 7</t>
  </si>
  <si>
    <t>Stop 14(2)</t>
  </si>
  <si>
    <t>Art(1)/ Stop 7</t>
  </si>
  <si>
    <t>Th</t>
  </si>
  <si>
    <t>August 2017</t>
  </si>
  <si>
    <t>Locations</t>
  </si>
  <si>
    <t>#</t>
  </si>
  <si>
    <t>Max Work Week:</t>
  </si>
  <si>
    <t>Min Work Week:</t>
  </si>
  <si>
    <t>Number of Sites:</t>
  </si>
  <si>
    <t>Num Volunteers:</t>
  </si>
  <si>
    <t>Num Days:</t>
  </si>
  <si>
    <t>Jane</t>
  </si>
  <si>
    <t>Doe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</si>
</sst>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;@"/>
  </numFmts>
  <fonts count="41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</font>
    <font>
      <sz val="12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b/>
      <sz val="12"/>
      <color theme="1"/>
      <name val="Calibri"/>
      <family val="2"/>
    </font>
    <font>
      <b/>
      <sz val="12"/>
      <name val="Calibri"/>
      <family val="2"/>
    </font>
    <font>
      <sz val="12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theme="1"/>
      <name val="Calibri"/>
      <family val="2"/>
      <scheme val="minor"/>
    </font>
    <font>
      <sz val="10"/>
      <color theme="1"/>
      <name val="Arial"/>
      <family val="2"/>
    </font>
    <font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sz val="12"/>
      <name val="Arial"/>
      <family val="2"/>
    </font>
    <font>
      <sz val="9"/>
      <name val="Menlo"/>
      <family val="2"/>
    </font>
    <font>
      <sz val="12"/>
      <color rgb="FF000000"/>
      <name val="Calibri"/>
      <family val="2"/>
    </font>
    <font>
      <sz val="11"/>
      <color theme="7"/>
      <name val="Calibri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6FC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59999389629810485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-0.249977111117893"/>
        <bgColor indexed="64"/>
      </patternFill>
    </fill>
  </fills>
  <borders count="4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rgb="FF000000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000000"/>
      </bottom>
      <diagonal/>
    </border>
    <border>
      <left style="medium">
        <color indexed="64"/>
      </left>
      <right style="medium">
        <color rgb="FF000000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rgb="FF000000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rgb="FF000000"/>
      </right>
      <top style="medium">
        <color indexed="64"/>
      </top>
      <bottom style="medium">
        <color rgb="FF000000"/>
      </bottom>
      <diagonal/>
    </border>
    <border>
      <left style="medium">
        <color rgb="FFCCCCCC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</borders>
  <cellStyleXfs count="2414">
    <xf numFmtId="0" fontId="0" fillId="0" borderId="0"/>
    <xf numFmtId="0" fontId="9" fillId="0" borderId="0"/>
    <xf numFmtId="0" fontId="6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6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5" fillId="0" borderId="0"/>
    <xf numFmtId="0" fontId="9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</cellStyleXfs>
  <cellXfs count="215">
    <xf numFmtId="0" fontId="0" fillId="0" borderId="0" xfId="0"/>
    <xf numFmtId="0" fontId="0" fillId="0" borderId="1" xfId="0" applyFill="1" applyBorder="1"/>
    <xf numFmtId="0" fontId="10" fillId="3" borderId="0" xfId="0" applyFont="1" applyFill="1" applyAlignment="1">
      <alignment horizontal="center"/>
    </xf>
    <xf numFmtId="0" fontId="7" fillId="0" borderId="0" xfId="0" applyFont="1" applyAlignment="1">
      <alignment horizontal="center" vertical="center"/>
    </xf>
    <xf numFmtId="0" fontId="0" fillId="0" borderId="0" xfId="0" applyBorder="1"/>
    <xf numFmtId="0" fontId="11" fillId="3" borderId="3" xfId="1" applyFont="1" applyFill="1" applyBorder="1" applyAlignment="1">
      <alignment horizontal="center" wrapText="1"/>
    </xf>
    <xf numFmtId="0" fontId="11" fillId="3" borderId="4" xfId="1" applyFont="1" applyFill="1" applyBorder="1" applyAlignment="1">
      <alignment horizontal="center" wrapText="1"/>
    </xf>
    <xf numFmtId="0" fontId="12" fillId="3" borderId="5" xfId="0" applyFont="1" applyFill="1" applyBorder="1" applyAlignment="1">
      <alignment horizontal="center" vertical="center" wrapText="1"/>
    </xf>
    <xf numFmtId="0" fontId="11" fillId="3" borderId="4" xfId="1" applyFont="1" applyFill="1" applyBorder="1" applyAlignment="1">
      <alignment horizontal="center" vertical="center" wrapText="1"/>
    </xf>
    <xf numFmtId="0" fontId="12" fillId="3" borderId="6" xfId="0" applyFont="1" applyFill="1" applyBorder="1" applyAlignment="1">
      <alignment horizontal="center" vertical="center" wrapText="1"/>
    </xf>
    <xf numFmtId="0" fontId="12" fillId="3" borderId="7" xfId="0" applyFont="1" applyFill="1" applyBorder="1" applyAlignment="1">
      <alignment horizontal="center" vertical="center" wrapText="1"/>
    </xf>
    <xf numFmtId="0" fontId="11" fillId="3" borderId="8" xfId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0" fillId="0" borderId="0" xfId="0" applyFill="1"/>
    <xf numFmtId="0" fontId="7" fillId="6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0" fillId="0" borderId="1" xfId="0" applyBorder="1"/>
    <xf numFmtId="0" fontId="10" fillId="0" borderId="0" xfId="0" applyFont="1" applyAlignment="1">
      <alignment vertical="center"/>
    </xf>
    <xf numFmtId="0" fontId="13" fillId="0" borderId="1" xfId="0" applyFont="1" applyBorder="1" applyAlignment="1">
      <alignment horizontal="right" vertical="center"/>
    </xf>
    <xf numFmtId="0" fontId="14" fillId="0" borderId="1" xfId="0" applyFont="1" applyBorder="1"/>
    <xf numFmtId="0" fontId="13" fillId="0" borderId="1" xfId="0" applyFont="1" applyBorder="1"/>
    <xf numFmtId="0" fontId="0" fillId="0" borderId="0" xfId="0" applyAlignment="1">
      <alignment textRotation="90"/>
    </xf>
    <xf numFmtId="0" fontId="0" fillId="0" borderId="14" xfId="0" applyBorder="1"/>
    <xf numFmtId="0" fontId="12" fillId="3" borderId="10" xfId="0" applyFont="1" applyFill="1" applyBorder="1" applyAlignment="1">
      <alignment textRotation="90"/>
    </xf>
    <xf numFmtId="0" fontId="11" fillId="3" borderId="10" xfId="1" applyFont="1" applyFill="1" applyBorder="1" applyAlignment="1">
      <alignment textRotation="90" wrapText="1"/>
    </xf>
    <xf numFmtId="0" fontId="16" fillId="3" borderId="10" xfId="1" applyFont="1" applyFill="1" applyBorder="1" applyAlignment="1">
      <alignment textRotation="90" wrapText="1"/>
    </xf>
    <xf numFmtId="0" fontId="15" fillId="3" borderId="10" xfId="0" applyFont="1" applyFill="1" applyBorder="1" applyAlignment="1">
      <alignment textRotation="90" wrapText="1"/>
    </xf>
    <xf numFmtId="0" fontId="0" fillId="3" borderId="11" xfId="0" applyFill="1" applyBorder="1" applyAlignment="1">
      <alignment textRotation="90"/>
    </xf>
    <xf numFmtId="0" fontId="0" fillId="0" borderId="12" xfId="0" applyBorder="1"/>
    <xf numFmtId="0" fontId="14" fillId="0" borderId="13" xfId="0" applyFont="1" applyBorder="1"/>
    <xf numFmtId="0" fontId="0" fillId="0" borderId="13" xfId="0" applyBorder="1"/>
    <xf numFmtId="0" fontId="0" fillId="5" borderId="12" xfId="0" applyFill="1" applyBorder="1"/>
    <xf numFmtId="0" fontId="0" fillId="4" borderId="12" xfId="0" applyFill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Alignment="1">
      <alignment textRotation="75"/>
    </xf>
    <xf numFmtId="0" fontId="0" fillId="7" borderId="12" xfId="0" applyFill="1" applyBorder="1"/>
    <xf numFmtId="0" fontId="0" fillId="7" borderId="1" xfId="0" applyFill="1" applyBorder="1"/>
    <xf numFmtId="0" fontId="0" fillId="7" borderId="13" xfId="0" applyFill="1" applyBorder="1"/>
    <xf numFmtId="0" fontId="0" fillId="7" borderId="0" xfId="0" applyFill="1"/>
    <xf numFmtId="0" fontId="12" fillId="3" borderId="14" xfId="0" applyFont="1" applyFill="1" applyBorder="1" applyAlignment="1">
      <alignment horizontal="center"/>
    </xf>
    <xf numFmtId="0" fontId="13" fillId="0" borderId="11" xfId="0" applyFont="1" applyBorder="1" applyAlignment="1">
      <alignment horizontal="right" vertical="center"/>
    </xf>
    <xf numFmtId="0" fontId="11" fillId="3" borderId="12" xfId="1" applyFont="1" applyFill="1" applyBorder="1" applyAlignment="1">
      <alignment horizontal="center" wrapText="1"/>
    </xf>
    <xf numFmtId="0" fontId="16" fillId="3" borderId="12" xfId="1" applyFont="1" applyFill="1" applyBorder="1" applyAlignment="1">
      <alignment horizontal="center" wrapText="1"/>
    </xf>
    <xf numFmtId="0" fontId="15" fillId="3" borderId="12" xfId="0" applyFont="1" applyFill="1" applyBorder="1" applyAlignment="1">
      <alignment horizontal="center" vertical="center" wrapText="1"/>
    </xf>
    <xf numFmtId="0" fontId="16" fillId="3" borderId="12" xfId="1" applyFont="1" applyFill="1" applyBorder="1" applyAlignment="1">
      <alignment horizontal="center" vertical="center" wrapText="1"/>
    </xf>
    <xf numFmtId="0" fontId="11" fillId="3" borderId="12" xfId="1" applyFont="1" applyFill="1" applyBorder="1" applyAlignment="1">
      <alignment horizontal="center" vertical="center" wrapText="1"/>
    </xf>
    <xf numFmtId="0" fontId="13" fillId="0" borderId="13" xfId="0" applyFont="1" applyBorder="1"/>
    <xf numFmtId="0" fontId="0" fillId="3" borderId="3" xfId="0" applyFill="1" applyBorder="1"/>
    <xf numFmtId="0" fontId="14" fillId="0" borderId="5" xfId="0" applyFont="1" applyBorder="1"/>
    <xf numFmtId="0" fontId="12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left" wrapText="1"/>
    </xf>
    <xf numFmtId="0" fontId="0" fillId="0" borderId="14" xfId="0" applyFill="1" applyBorder="1"/>
    <xf numFmtId="0" fontId="0" fillId="0" borderId="12" xfId="0" applyFill="1" applyBorder="1"/>
    <xf numFmtId="0" fontId="0" fillId="0" borderId="0" xfId="0" applyAlignment="1">
      <alignment horizontal="center"/>
    </xf>
    <xf numFmtId="0" fontId="22" fillId="0" borderId="0" xfId="0" applyFont="1" applyAlignment="1">
      <alignment horizontal="center"/>
    </xf>
    <xf numFmtId="0" fontId="20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8" fillId="3" borderId="2" xfId="0" applyFont="1" applyFill="1" applyBorder="1" applyAlignment="1">
      <alignment horizontal="center" wrapText="1"/>
    </xf>
    <xf numFmtId="49" fontId="12" fillId="3" borderId="1" xfId="0" applyNumberFormat="1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10" fillId="0" borderId="1" xfId="0" applyFont="1" applyFill="1" applyBorder="1" applyAlignment="1">
      <alignment vertical="center"/>
    </xf>
    <xf numFmtId="0" fontId="11" fillId="0" borderId="1" xfId="0" applyFont="1" applyFill="1" applyBorder="1" applyAlignment="1">
      <alignment wrapText="1"/>
    </xf>
    <xf numFmtId="0" fontId="0" fillId="0" borderId="0" xfId="0" applyFont="1" applyFill="1"/>
    <xf numFmtId="0" fontId="0" fillId="0" borderId="0" xfId="0" applyFont="1"/>
    <xf numFmtId="0" fontId="19" fillId="3" borderId="1" xfId="0" applyFont="1" applyFill="1" applyBorder="1" applyAlignment="1">
      <alignment horizontal="center" vertical="center"/>
    </xf>
    <xf numFmtId="0" fontId="19" fillId="3" borderId="1" xfId="0" applyFont="1" applyFill="1" applyBorder="1" applyAlignment="1">
      <alignment horizontal="center" vertical="center" wrapText="1"/>
    </xf>
    <xf numFmtId="0" fontId="27" fillId="0" borderId="1" xfId="0" applyFont="1" applyFill="1" applyBorder="1" applyAlignment="1">
      <alignment horizontal="center" vertical="center"/>
    </xf>
    <xf numFmtId="0" fontId="0" fillId="0" borderId="0" xfId="0"/>
    <xf numFmtId="0" fontId="0" fillId="0" borderId="0" xfId="0"/>
    <xf numFmtId="0" fontId="0" fillId="0" borderId="14" xfId="0" applyBorder="1" applyAlignment="1">
      <alignment horizontal="center"/>
    </xf>
    <xf numFmtId="0" fontId="28" fillId="14" borderId="1" xfId="0" applyFont="1" applyFill="1" applyBorder="1" applyAlignment="1">
      <alignment horizontal="center" vertical="center"/>
    </xf>
    <xf numFmtId="0" fontId="28" fillId="14" borderId="1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0" fontId="8" fillId="12" borderId="2" xfId="0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0" fontId="17" fillId="0" borderId="1" xfId="0" applyFont="1" applyFill="1" applyBorder="1" applyAlignment="1">
      <alignment horizontal="center" vertical="center"/>
    </xf>
    <xf numFmtId="0" fontId="0" fillId="0" borderId="0" xfId="0"/>
    <xf numFmtId="0" fontId="11" fillId="0" borderId="1" xfId="0" applyFont="1" applyBorder="1" applyAlignment="1">
      <alignment wrapText="1"/>
    </xf>
    <xf numFmtId="0" fontId="11" fillId="0" borderId="16" xfId="0" applyFont="1" applyBorder="1" applyAlignment="1">
      <alignment wrapText="1"/>
    </xf>
    <xf numFmtId="0" fontId="11" fillId="0" borderId="9" xfId="0" applyFont="1" applyBorder="1" applyAlignment="1">
      <alignment wrapText="1"/>
    </xf>
    <xf numFmtId="0" fontId="0" fillId="0" borderId="1" xfId="0" applyFill="1" applyBorder="1" applyAlignment="1">
      <alignment horizontal="center" vertical="center"/>
    </xf>
    <xf numFmtId="0" fontId="7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 textRotation="90"/>
    </xf>
    <xf numFmtId="0" fontId="0" fillId="0" borderId="0" xfId="0"/>
    <xf numFmtId="0" fontId="5" fillId="0" borderId="1" xfId="0" applyFont="1" applyFill="1" applyBorder="1" applyAlignment="1">
      <alignment horizontal="center" vertical="center"/>
    </xf>
    <xf numFmtId="0" fontId="0" fillId="16" borderId="0" xfId="0" applyFill="1"/>
    <xf numFmtId="164" fontId="12" fillId="18" borderId="14" xfId="0" applyNumberFormat="1" applyFont="1" applyFill="1" applyBorder="1"/>
    <xf numFmtId="164" fontId="3" fillId="18" borderId="10" xfId="0" applyNumberFormat="1" applyFont="1" applyFill="1" applyBorder="1" applyAlignment="1">
      <alignment horizontal="center" vertical="center"/>
    </xf>
    <xf numFmtId="164" fontId="3" fillId="18" borderId="11" xfId="0" applyNumberFormat="1" applyFont="1" applyFill="1" applyBorder="1" applyAlignment="1">
      <alignment horizontal="center" vertical="center"/>
    </xf>
    <xf numFmtId="164" fontId="12" fillId="0" borderId="12" xfId="0" applyNumberFormat="1" applyFont="1" applyBorder="1"/>
    <xf numFmtId="164" fontId="3" fillId="0" borderId="1" xfId="0" applyNumberFormat="1" applyFont="1" applyBorder="1" applyAlignment="1">
      <alignment horizontal="center" vertical="center"/>
    </xf>
    <xf numFmtId="164" fontId="3" fillId="0" borderId="13" xfId="0" applyNumberFormat="1" applyFont="1" applyBorder="1" applyAlignment="1">
      <alignment horizontal="center" vertical="center"/>
    </xf>
    <xf numFmtId="164" fontId="12" fillId="0" borderId="3" xfId="0" applyNumberFormat="1" applyFont="1" applyBorder="1"/>
    <xf numFmtId="164" fontId="3" fillId="0" borderId="4" xfId="0" applyNumberFormat="1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164" fontId="12" fillId="18" borderId="12" xfId="0" applyNumberFormat="1" applyFont="1" applyFill="1" applyBorder="1"/>
    <xf numFmtId="164" fontId="3" fillId="18" borderId="1" xfId="0" applyNumberFormat="1" applyFont="1" applyFill="1" applyBorder="1" applyAlignment="1">
      <alignment horizontal="center" vertical="center"/>
    </xf>
    <xf numFmtId="164" fontId="3" fillId="18" borderId="13" xfId="0" applyNumberFormat="1" applyFont="1" applyFill="1" applyBorder="1" applyAlignment="1">
      <alignment horizontal="center" vertical="center"/>
    </xf>
    <xf numFmtId="164" fontId="12" fillId="13" borderId="19" xfId="0" applyNumberFormat="1" applyFont="1" applyFill="1" applyBorder="1"/>
    <xf numFmtId="164" fontId="3" fillId="13" borderId="0" xfId="0" applyNumberFormat="1" applyFont="1" applyFill="1" applyBorder="1" applyAlignment="1">
      <alignment horizontal="center" vertical="center"/>
    </xf>
    <xf numFmtId="164" fontId="3" fillId="13" borderId="17" xfId="0" applyNumberFormat="1" applyFont="1" applyFill="1" applyBorder="1" applyAlignment="1">
      <alignment horizontal="center" vertical="center"/>
    </xf>
    <xf numFmtId="164" fontId="3" fillId="0" borderId="1" xfId="0" applyNumberFormat="1" applyFont="1" applyFill="1" applyBorder="1" applyAlignment="1">
      <alignment horizontal="center" vertical="center"/>
    </xf>
    <xf numFmtId="164" fontId="12" fillId="18" borderId="3" xfId="0" applyNumberFormat="1" applyFont="1" applyFill="1" applyBorder="1"/>
    <xf numFmtId="164" fontId="3" fillId="18" borderId="4" xfId="0" applyNumberFormat="1" applyFont="1" applyFill="1" applyBorder="1" applyAlignment="1">
      <alignment horizontal="center" vertical="center"/>
    </xf>
    <xf numFmtId="164" fontId="3" fillId="18" borderId="5" xfId="0" applyNumberFormat="1" applyFont="1" applyFill="1" applyBorder="1" applyAlignment="1">
      <alignment horizontal="center" vertical="center"/>
    </xf>
    <xf numFmtId="164" fontId="12" fillId="13" borderId="23" xfId="0" applyNumberFormat="1" applyFont="1" applyFill="1" applyBorder="1"/>
    <xf numFmtId="164" fontId="3" fillId="13" borderId="18" xfId="0" applyNumberFormat="1" applyFont="1" applyFill="1" applyBorder="1" applyAlignment="1">
      <alignment horizontal="center" vertical="center"/>
    </xf>
    <xf numFmtId="164" fontId="3" fillId="13" borderId="21" xfId="0" applyNumberFormat="1" applyFont="1" applyFill="1" applyBorder="1" applyAlignment="1">
      <alignment horizontal="center" vertical="center"/>
    </xf>
    <xf numFmtId="164" fontId="12" fillId="0" borderId="14" xfId="0" applyNumberFormat="1" applyFont="1" applyBorder="1"/>
    <xf numFmtId="164" fontId="3" fillId="0" borderId="10" xfId="0" applyNumberFormat="1" applyFont="1" applyBorder="1" applyAlignment="1">
      <alignment horizontal="center" vertical="center"/>
    </xf>
    <xf numFmtId="164" fontId="3" fillId="0" borderId="11" xfId="0" applyNumberFormat="1" applyFont="1" applyBorder="1" applyAlignment="1">
      <alignment horizontal="center" vertical="center"/>
    </xf>
    <xf numFmtId="164" fontId="12" fillId="0" borderId="14" xfId="0" applyNumberFormat="1" applyFont="1" applyFill="1" applyBorder="1"/>
    <xf numFmtId="164" fontId="3" fillId="0" borderId="10" xfId="0" applyNumberFormat="1" applyFont="1" applyFill="1" applyBorder="1" applyAlignment="1">
      <alignment horizontal="center" vertical="center"/>
    </xf>
    <xf numFmtId="164" fontId="3" fillId="0" borderId="11" xfId="0" applyNumberFormat="1" applyFont="1" applyFill="1" applyBorder="1" applyAlignment="1">
      <alignment horizontal="center" vertical="center"/>
    </xf>
    <xf numFmtId="164" fontId="3" fillId="0" borderId="4" xfId="0" applyNumberFormat="1" applyFont="1" applyFill="1" applyBorder="1" applyAlignment="1">
      <alignment horizontal="center" vertical="center"/>
    </xf>
    <xf numFmtId="164" fontId="3" fillId="0" borderId="5" xfId="0" applyNumberFormat="1" applyFont="1" applyFill="1" applyBorder="1" applyAlignment="1">
      <alignment horizontal="center" vertical="center"/>
    </xf>
    <xf numFmtId="164" fontId="12" fillId="0" borderId="3" xfId="0" applyNumberFormat="1" applyFont="1" applyFill="1" applyBorder="1"/>
    <xf numFmtId="0" fontId="0" fillId="0" borderId="0" xfId="0" applyAlignment="1"/>
    <xf numFmtId="0" fontId="21" fillId="0" borderId="1" xfId="0" applyFont="1" applyFill="1" applyBorder="1" applyAlignment="1">
      <alignment vertical="center"/>
    </xf>
    <xf numFmtId="0" fontId="18" fillId="3" borderId="1" xfId="0" applyFont="1" applyFill="1" applyBorder="1" applyAlignment="1">
      <alignment horizontal="center" vertical="center" wrapText="1"/>
    </xf>
    <xf numFmtId="0" fontId="30" fillId="0" borderId="0" xfId="0" applyFont="1"/>
    <xf numFmtId="49" fontId="18" fillId="3" borderId="1" xfId="0" applyNumberFormat="1" applyFont="1" applyFill="1" applyBorder="1" applyAlignment="1">
      <alignment horizontal="center" vertical="center"/>
    </xf>
    <xf numFmtId="0" fontId="21" fillId="0" borderId="0" xfId="0" applyFont="1" applyAlignment="1">
      <alignment vertical="center"/>
    </xf>
    <xf numFmtId="0" fontId="29" fillId="0" borderId="1" xfId="0" applyFont="1" applyFill="1" applyBorder="1" applyAlignment="1">
      <alignment wrapText="1"/>
    </xf>
    <xf numFmtId="0" fontId="31" fillId="0" borderId="1" xfId="0" applyFont="1" applyFill="1" applyBorder="1" applyAlignment="1">
      <alignment horizontal="center" vertical="center"/>
    </xf>
    <xf numFmtId="0" fontId="30" fillId="0" borderId="0" xfId="0" applyFont="1" applyFill="1"/>
    <xf numFmtId="0" fontId="2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 wrapText="1"/>
    </xf>
    <xf numFmtId="0" fontId="34" fillId="0" borderId="1" xfId="0" applyFont="1" applyBorder="1" applyAlignment="1">
      <alignment horizontal="center" vertical="center"/>
    </xf>
    <xf numFmtId="0" fontId="36" fillId="0" borderId="0" xfId="0" applyFont="1" applyFill="1" applyBorder="1" applyAlignment="1">
      <alignment horizontal="center" vertical="center"/>
    </xf>
    <xf numFmtId="0" fontId="33" fillId="0" borderId="0" xfId="0" applyFont="1" applyFill="1" applyBorder="1" applyAlignment="1">
      <alignment horizontal="center" vertical="center"/>
    </xf>
    <xf numFmtId="0" fontId="26" fillId="21" borderId="28" xfId="0" applyFont="1" applyFill="1" applyBorder="1" applyAlignment="1">
      <alignment horizontal="center" vertical="center"/>
    </xf>
    <xf numFmtId="0" fontId="26" fillId="22" borderId="28" xfId="0" applyFont="1" applyFill="1" applyBorder="1" applyAlignment="1">
      <alignment horizontal="center" vertical="center"/>
    </xf>
    <xf numFmtId="0" fontId="33" fillId="0" borderId="28" xfId="0" applyFont="1" applyFill="1" applyBorder="1" applyAlignment="1">
      <alignment horizontal="center" vertical="center"/>
    </xf>
    <xf numFmtId="0" fontId="37" fillId="0" borderId="0" xfId="0" applyFont="1" applyFill="1" applyBorder="1" applyAlignment="1">
      <alignment horizontal="center" vertical="center"/>
    </xf>
    <xf numFmtId="0" fontId="8" fillId="3" borderId="29" xfId="0" applyFont="1" applyFill="1" applyBorder="1" applyAlignment="1">
      <alignment horizontal="center" vertical="center" wrapText="1"/>
    </xf>
    <xf numFmtId="164" fontId="4" fillId="3" borderId="30" xfId="0" applyNumberFormat="1" applyFont="1" applyFill="1" applyBorder="1" applyAlignment="1">
      <alignment horizontal="center" vertical="center"/>
    </xf>
    <xf numFmtId="164" fontId="4" fillId="3" borderId="31" xfId="0" applyNumberFormat="1" applyFont="1" applyFill="1" applyBorder="1" applyAlignment="1">
      <alignment horizontal="center" vertical="center"/>
    </xf>
    <xf numFmtId="0" fontId="17" fillId="0" borderId="14" xfId="0" applyFont="1" applyFill="1" applyBorder="1" applyAlignment="1">
      <alignment horizontal="center" vertical="center"/>
    </xf>
    <xf numFmtId="0" fontId="5" fillId="0" borderId="37" xfId="0" applyFont="1" applyFill="1" applyBorder="1" applyAlignment="1">
      <alignment horizontal="center" vertical="center"/>
    </xf>
    <xf numFmtId="0" fontId="5" fillId="0" borderId="31" xfId="0" applyFont="1" applyFill="1" applyBorder="1" applyAlignment="1">
      <alignment horizontal="center" vertical="center"/>
    </xf>
    <xf numFmtId="0" fontId="17" fillId="0" borderId="12" xfId="0" applyFont="1" applyFill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center" vertical="center"/>
    </xf>
    <xf numFmtId="0" fontId="2" fillId="11" borderId="27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32" fillId="23" borderId="32" xfId="0" applyFont="1" applyFill="1" applyBorder="1" applyAlignment="1">
      <alignment horizontal="left" wrapText="1"/>
    </xf>
    <xf numFmtId="0" fontId="32" fillId="23" borderId="33" xfId="0" applyFont="1" applyFill="1" applyBorder="1" applyAlignment="1">
      <alignment horizontal="left" wrapText="1"/>
    </xf>
    <xf numFmtId="0" fontId="38" fillId="0" borderId="15" xfId="0" applyFont="1" applyFill="1" applyBorder="1"/>
    <xf numFmtId="0" fontId="0" fillId="0" borderId="19" xfId="0" applyBorder="1"/>
    <xf numFmtId="0" fontId="0" fillId="0" borderId="23" xfId="0" applyBorder="1"/>
    <xf numFmtId="0" fontId="0" fillId="24" borderId="40" xfId="0" applyFill="1" applyBorder="1"/>
    <xf numFmtId="0" fontId="0" fillId="24" borderId="27" xfId="0" applyFill="1" applyBorder="1"/>
    <xf numFmtId="0" fontId="0" fillId="25" borderId="27" xfId="0" applyFill="1" applyBorder="1"/>
    <xf numFmtId="0" fontId="0" fillId="25" borderId="41" xfId="0" applyFill="1" applyBorder="1"/>
    <xf numFmtId="0" fontId="32" fillId="23" borderId="38" xfId="0" applyFont="1" applyFill="1" applyBorder="1" applyAlignment="1">
      <alignment horizontal="left" wrapText="1"/>
    </xf>
    <xf numFmtId="0" fontId="32" fillId="23" borderId="39" xfId="0" applyFont="1" applyFill="1" applyBorder="1" applyAlignment="1">
      <alignment horizontal="left" wrapText="1"/>
    </xf>
    <xf numFmtId="0" fontId="32" fillId="23" borderId="34" xfId="0" applyFont="1" applyFill="1" applyBorder="1" applyAlignment="1">
      <alignment horizontal="left" wrapText="1"/>
    </xf>
    <xf numFmtId="0" fontId="32" fillId="23" borderId="35" xfId="0" applyFont="1" applyFill="1" applyBorder="1" applyAlignment="1">
      <alignment horizontal="left" wrapText="1"/>
    </xf>
    <xf numFmtId="0" fontId="17" fillId="0" borderId="16" xfId="0" applyFont="1" applyFill="1" applyBorder="1" applyAlignment="1">
      <alignment horizontal="center" vertical="center"/>
    </xf>
    <xf numFmtId="0" fontId="17" fillId="0" borderId="36" xfId="0" applyFont="1" applyFill="1" applyBorder="1" applyAlignment="1">
      <alignment horizontal="center" vertical="center"/>
    </xf>
    <xf numFmtId="0" fontId="17" fillId="0" borderId="3" xfId="0" applyFont="1" applyFill="1" applyBorder="1" applyAlignment="1">
      <alignment horizontal="center" vertical="center"/>
    </xf>
    <xf numFmtId="0" fontId="17" fillId="0" borderId="42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/>
    </xf>
    <xf numFmtId="0" fontId="17" fillId="0" borderId="5" xfId="0" applyFont="1" applyFill="1" applyBorder="1" applyAlignment="1">
      <alignment horizontal="center" vertical="center"/>
    </xf>
    <xf numFmtId="49" fontId="8" fillId="3" borderId="19" xfId="0" applyNumberFormat="1" applyFont="1" applyFill="1" applyBorder="1" applyAlignment="1">
      <alignment horizontal="center" vertical="center"/>
    </xf>
    <xf numFmtId="49" fontId="8" fillId="3" borderId="17" xfId="0" applyNumberFormat="1" applyFont="1" applyFill="1" applyBorder="1" applyAlignment="1">
      <alignment horizontal="center" vertical="center"/>
    </xf>
    <xf numFmtId="0" fontId="0" fillId="27" borderId="15" xfId="0" applyFill="1" applyBorder="1" applyAlignment="1">
      <alignment horizontal="center"/>
    </xf>
    <xf numFmtId="0" fontId="0" fillId="27" borderId="20" xfId="0" applyFill="1" applyBorder="1" applyAlignment="1">
      <alignment horizontal="center"/>
    </xf>
    <xf numFmtId="0" fontId="0" fillId="27" borderId="19" xfId="0" applyFill="1" applyBorder="1" applyAlignment="1">
      <alignment horizontal="center"/>
    </xf>
    <xf numFmtId="0" fontId="0" fillId="27" borderId="17" xfId="0" applyFill="1" applyBorder="1" applyAlignment="1">
      <alignment horizontal="center"/>
    </xf>
    <xf numFmtId="0" fontId="0" fillId="27" borderId="0" xfId="0" applyFill="1" applyBorder="1" applyAlignment="1">
      <alignment horizontal="center"/>
    </xf>
    <xf numFmtId="0" fontId="0" fillId="27" borderId="23" xfId="0" applyFill="1" applyBorder="1" applyAlignment="1">
      <alignment horizontal="center"/>
    </xf>
    <xf numFmtId="0" fontId="0" fillId="27" borderId="18" xfId="0" applyFill="1" applyBorder="1" applyAlignment="1">
      <alignment horizontal="center"/>
    </xf>
    <xf numFmtId="0" fontId="40" fillId="26" borderId="15" xfId="0" applyFont="1" applyFill="1" applyBorder="1" applyAlignment="1">
      <alignment horizontal="center"/>
    </xf>
    <xf numFmtId="0" fontId="40" fillId="26" borderId="22" xfId="0" applyFont="1" applyFill="1" applyBorder="1" applyAlignment="1">
      <alignment horizontal="center"/>
    </xf>
    <xf numFmtId="0" fontId="40" fillId="26" borderId="19" xfId="0" applyFont="1" applyFill="1" applyBorder="1" applyAlignment="1">
      <alignment horizontal="center"/>
    </xf>
    <xf numFmtId="0" fontId="40" fillId="26" borderId="0" xfId="0" applyFont="1" applyFill="1" applyBorder="1" applyAlignment="1">
      <alignment horizontal="center"/>
    </xf>
    <xf numFmtId="0" fontId="40" fillId="26" borderId="23" xfId="0" applyFont="1" applyFill="1" applyBorder="1" applyAlignment="1">
      <alignment horizontal="center"/>
    </xf>
    <xf numFmtId="0" fontId="40" fillId="26" borderId="18" xfId="0" applyFont="1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18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9" borderId="21" xfId="0" applyFill="1" applyBorder="1" applyAlignment="1">
      <alignment horizontal="center"/>
    </xf>
    <xf numFmtId="0" fontId="13" fillId="8" borderId="24" xfId="0" applyFont="1" applyFill="1" applyBorder="1" applyAlignment="1">
      <alignment horizontal="center" vertical="center"/>
    </xf>
    <xf numFmtId="0" fontId="19" fillId="8" borderId="25" xfId="0" applyFont="1" applyFill="1" applyBorder="1" applyAlignment="1">
      <alignment horizontal="center" vertical="center"/>
    </xf>
    <xf numFmtId="0" fontId="19" fillId="8" borderId="26" xfId="0" applyFont="1" applyFill="1" applyBorder="1" applyAlignment="1">
      <alignment horizontal="center" vertical="center"/>
    </xf>
    <xf numFmtId="0" fontId="22" fillId="9" borderId="24" xfId="0" applyFont="1" applyFill="1" applyBorder="1" applyAlignment="1">
      <alignment horizontal="center" vertical="center"/>
    </xf>
    <xf numFmtId="0" fontId="22" fillId="9" borderId="22" xfId="0" applyFont="1" applyFill="1" applyBorder="1" applyAlignment="1">
      <alignment horizontal="center" vertical="center"/>
    </xf>
    <xf numFmtId="0" fontId="22" fillId="9" borderId="25" xfId="0" applyFont="1" applyFill="1" applyBorder="1" applyAlignment="1">
      <alignment horizontal="center" vertical="center"/>
    </xf>
    <xf numFmtId="0" fontId="22" fillId="9" borderId="20" xfId="0" applyFont="1" applyFill="1" applyBorder="1" applyAlignment="1">
      <alignment horizontal="center" vertical="center"/>
    </xf>
    <xf numFmtId="164" fontId="12" fillId="17" borderId="15" xfId="0" applyNumberFormat="1" applyFont="1" applyFill="1" applyBorder="1" applyAlignment="1">
      <alignment horizontal="center" vertical="center" wrapText="1"/>
    </xf>
    <xf numFmtId="164" fontId="12" fillId="17" borderId="19" xfId="0" applyNumberFormat="1" applyFont="1" applyFill="1" applyBorder="1" applyAlignment="1">
      <alignment horizontal="center" vertical="center" wrapText="1"/>
    </xf>
    <xf numFmtId="164" fontId="12" fillId="17" borderId="23" xfId="0" applyNumberFormat="1" applyFont="1" applyFill="1" applyBorder="1" applyAlignment="1">
      <alignment horizontal="center" vertical="center" wrapText="1"/>
    </xf>
    <xf numFmtId="164" fontId="12" fillId="15" borderId="15" xfId="0" applyNumberFormat="1" applyFont="1" applyFill="1" applyBorder="1" applyAlignment="1">
      <alignment horizontal="center" vertical="center" wrapText="1"/>
    </xf>
    <xf numFmtId="164" fontId="12" fillId="15" borderId="19" xfId="0" applyNumberFormat="1" applyFont="1" applyFill="1" applyBorder="1" applyAlignment="1">
      <alignment horizontal="center" vertical="center" wrapText="1"/>
    </xf>
    <xf numFmtId="164" fontId="12" fillId="15" borderId="23" xfId="0" applyNumberFormat="1" applyFont="1" applyFill="1" applyBorder="1" applyAlignment="1">
      <alignment horizontal="center" vertical="center" wrapText="1"/>
    </xf>
    <xf numFmtId="164" fontId="3" fillId="9" borderId="24" xfId="0" applyNumberFormat="1" applyFont="1" applyFill="1" applyBorder="1" applyAlignment="1">
      <alignment horizontal="center"/>
    </xf>
    <xf numFmtId="164" fontId="3" fillId="9" borderId="0" xfId="0" applyNumberFormat="1" applyFont="1" applyFill="1" applyBorder="1" applyAlignment="1">
      <alignment horizontal="center"/>
    </xf>
    <xf numFmtId="164" fontId="3" fillId="9" borderId="25" xfId="0" applyNumberFormat="1" applyFont="1" applyFill="1" applyBorder="1" applyAlignment="1">
      <alignment horizontal="center"/>
    </xf>
    <xf numFmtId="164" fontId="3" fillId="9" borderId="17" xfId="0" applyNumberFormat="1" applyFont="1" applyFill="1" applyBorder="1" applyAlignment="1">
      <alignment horizontal="center"/>
    </xf>
    <xf numFmtId="164" fontId="12" fillId="19" borderId="19" xfId="0" applyNumberFormat="1" applyFont="1" applyFill="1" applyBorder="1" applyAlignment="1">
      <alignment horizontal="center" vertical="center" wrapText="1"/>
    </xf>
    <xf numFmtId="164" fontId="12" fillId="20" borderId="22" xfId="0" applyNumberFormat="1" applyFont="1" applyFill="1" applyBorder="1" applyAlignment="1">
      <alignment horizontal="center" vertical="center" wrapText="1"/>
    </xf>
    <xf numFmtId="164" fontId="12" fillId="20" borderId="0" xfId="0" applyNumberFormat="1" applyFont="1" applyFill="1" applyBorder="1" applyAlignment="1">
      <alignment horizontal="center" vertical="center" wrapText="1"/>
    </xf>
    <xf numFmtId="164" fontId="12" fillId="20" borderId="18" xfId="0" applyNumberFormat="1" applyFont="1" applyFill="1" applyBorder="1" applyAlignment="1">
      <alignment horizontal="center" vertical="center" wrapText="1"/>
    </xf>
  </cellXfs>
  <cellStyles count="2414">
    <cellStyle name="Followed Hyperlink" xfId="1383" builtinId="9" hidden="1"/>
    <cellStyle name="Followed Hyperlink" xfId="1126" builtinId="9" hidden="1"/>
    <cellStyle name="Followed Hyperlink" xfId="870" builtinId="9" hidden="1"/>
    <cellStyle name="Followed Hyperlink" xfId="614" builtinId="9" hidden="1"/>
    <cellStyle name="Followed Hyperlink" xfId="358" builtinId="9" hidden="1"/>
    <cellStyle name="Followed Hyperlink" xfId="170" builtinId="9" hidden="1"/>
    <cellStyle name="Followed Hyperlink" xfId="126" builtinId="9" hidden="1"/>
    <cellStyle name="Followed Hyperlink" xfId="286" builtinId="9" hidden="1"/>
    <cellStyle name="Followed Hyperlink" xfId="542" builtinId="9" hidden="1"/>
    <cellStyle name="Followed Hyperlink" xfId="798" builtinId="9" hidden="1"/>
    <cellStyle name="Followed Hyperlink" xfId="1054" builtinId="9" hidden="1"/>
    <cellStyle name="Followed Hyperlink" xfId="1311" builtinId="9" hidden="1"/>
    <cellStyle name="Followed Hyperlink" xfId="1567" builtinId="9" hidden="1"/>
    <cellStyle name="Followed Hyperlink" xfId="1825" builtinId="9" hidden="1"/>
    <cellStyle name="Followed Hyperlink" xfId="2081" builtinId="9" hidden="1"/>
    <cellStyle name="Followed Hyperlink" xfId="2337" builtinId="9" hidden="1"/>
    <cellStyle name="Followed Hyperlink" xfId="2235" builtinId="9" hidden="1"/>
    <cellStyle name="Followed Hyperlink" xfId="1979" builtinId="9" hidden="1"/>
    <cellStyle name="Followed Hyperlink" xfId="1723" builtinId="9" hidden="1"/>
    <cellStyle name="Followed Hyperlink" xfId="1465" builtinId="9" hidden="1"/>
    <cellStyle name="Followed Hyperlink" xfId="1208" builtinId="9" hidden="1"/>
    <cellStyle name="Followed Hyperlink" xfId="952" builtinId="9" hidden="1"/>
    <cellStyle name="Followed Hyperlink" xfId="696" builtinId="9" hidden="1"/>
    <cellStyle name="Followed Hyperlink" xfId="440" builtinId="9" hidden="1"/>
    <cellStyle name="Followed Hyperlink" xfId="184" builtinId="9" hidden="1"/>
    <cellStyle name="Followed Hyperlink" xfId="10" builtinId="9" hidden="1"/>
    <cellStyle name="Followed Hyperlink" xfId="204" builtinId="9" hidden="1"/>
    <cellStyle name="Followed Hyperlink" xfId="460" builtinId="9" hidden="1"/>
    <cellStyle name="Followed Hyperlink" xfId="716" builtinId="9" hidden="1"/>
    <cellStyle name="Followed Hyperlink" xfId="972" builtinId="9" hidden="1"/>
    <cellStyle name="Followed Hyperlink" xfId="1229" builtinId="9" hidden="1"/>
    <cellStyle name="Followed Hyperlink" xfId="1485" builtinId="9" hidden="1"/>
    <cellStyle name="Followed Hyperlink" xfId="1743" builtinId="9" hidden="1"/>
    <cellStyle name="Followed Hyperlink" xfId="1999" builtinId="9" hidden="1"/>
    <cellStyle name="Followed Hyperlink" xfId="2255" builtinId="9" hidden="1"/>
    <cellStyle name="Followed Hyperlink" xfId="2317" builtinId="9" hidden="1"/>
    <cellStyle name="Followed Hyperlink" xfId="2061" builtinId="9" hidden="1"/>
    <cellStyle name="Followed Hyperlink" xfId="1805" builtinId="9" hidden="1"/>
    <cellStyle name="Followed Hyperlink" xfId="1547" builtinId="9" hidden="1"/>
    <cellStyle name="Followed Hyperlink" xfId="1291" builtinId="9" hidden="1"/>
    <cellStyle name="Followed Hyperlink" xfId="1034" builtinId="9" hidden="1"/>
    <cellStyle name="Followed Hyperlink" xfId="778" builtinId="9" hidden="1"/>
    <cellStyle name="Followed Hyperlink" xfId="522" builtinId="9" hidden="1"/>
    <cellStyle name="Followed Hyperlink" xfId="402" builtinId="9" hidden="1"/>
    <cellStyle name="Followed Hyperlink" xfId="250" builtinId="9" hidden="1"/>
    <cellStyle name="Followed Hyperlink" xfId="314" builtinId="9" hidden="1"/>
    <cellStyle name="Followed Hyperlink" xfId="330" builtinId="9" hidden="1"/>
    <cellStyle name="Followed Hyperlink" xfId="634" builtinId="9" hidden="1"/>
    <cellStyle name="Followed Hyperlink" xfId="890" builtinId="9" hidden="1"/>
    <cellStyle name="Followed Hyperlink" xfId="1146" builtinId="9" hidden="1"/>
    <cellStyle name="Followed Hyperlink" xfId="1403" builtinId="9" hidden="1"/>
    <cellStyle name="Followed Hyperlink" xfId="1659" builtinId="9" hidden="1"/>
    <cellStyle name="Followed Hyperlink" xfId="1917" builtinId="9" hidden="1"/>
    <cellStyle name="Followed Hyperlink" xfId="2173" builtinId="9" hidden="1"/>
    <cellStyle name="Followed Hyperlink" xfId="2399" builtinId="9" hidden="1"/>
    <cellStyle name="Followed Hyperlink" xfId="2143" builtinId="9" hidden="1"/>
    <cellStyle name="Followed Hyperlink" xfId="1887" builtinId="9" hidden="1"/>
    <cellStyle name="Followed Hyperlink" xfId="1629" builtinId="9" hidden="1"/>
    <cellStyle name="Followed Hyperlink" xfId="1373" builtinId="9" hidden="1"/>
    <cellStyle name="Followed Hyperlink" xfId="1116" builtinId="9" hidden="1"/>
    <cellStyle name="Followed Hyperlink" xfId="860" builtinId="9" hidden="1"/>
    <cellStyle name="Followed Hyperlink" xfId="604" builtinId="9" hidden="1"/>
    <cellStyle name="Followed Hyperlink" xfId="348" builtinId="9" hidden="1"/>
    <cellStyle name="Followed Hyperlink" xfId="92" builtinId="9" hidden="1"/>
    <cellStyle name="Followed Hyperlink" xfId="42" builtinId="9" hidden="1"/>
    <cellStyle name="Followed Hyperlink" xfId="296" builtinId="9" hidden="1"/>
    <cellStyle name="Followed Hyperlink" xfId="552" builtinId="9" hidden="1"/>
    <cellStyle name="Followed Hyperlink" xfId="808" builtinId="9" hidden="1"/>
    <cellStyle name="Followed Hyperlink" xfId="1064" builtinId="9" hidden="1"/>
    <cellStyle name="Followed Hyperlink" xfId="1321" builtinId="9" hidden="1"/>
    <cellStyle name="Followed Hyperlink" xfId="1577" builtinId="9" hidden="1"/>
    <cellStyle name="Followed Hyperlink" xfId="1835" builtinId="9" hidden="1"/>
    <cellStyle name="Followed Hyperlink" xfId="2091" builtinId="9" hidden="1"/>
    <cellStyle name="Followed Hyperlink" xfId="2347" builtinId="9" hidden="1"/>
    <cellStyle name="Followed Hyperlink" xfId="2225" builtinId="9" hidden="1"/>
    <cellStyle name="Followed Hyperlink" xfId="1969" builtinId="9" hidden="1"/>
    <cellStyle name="Followed Hyperlink" xfId="1713" builtinId="9" hidden="1"/>
    <cellStyle name="Followed Hyperlink" xfId="1455" builtinId="9" hidden="1"/>
    <cellStyle name="Followed Hyperlink" xfId="1198" builtinId="9" hidden="1"/>
    <cellStyle name="Followed Hyperlink" xfId="942" builtinId="9" hidden="1"/>
    <cellStyle name="Followed Hyperlink" xfId="686" builtinId="9" hidden="1"/>
    <cellStyle name="Followed Hyperlink" xfId="430" builtinId="9" hidden="1"/>
    <cellStyle name="Followed Hyperlink" xfId="122" builtinId="9" hidden="1"/>
    <cellStyle name="Followed Hyperlink" xfId="82" builtinId="9" hidden="1"/>
    <cellStyle name="Followed Hyperlink" xfId="214" builtinId="9" hidden="1"/>
    <cellStyle name="Followed Hyperlink" xfId="470" builtinId="9" hidden="1"/>
    <cellStyle name="Followed Hyperlink" xfId="726" builtinId="9" hidden="1"/>
    <cellStyle name="Followed Hyperlink" xfId="982" builtinId="9" hidden="1"/>
    <cellStyle name="Followed Hyperlink" xfId="1239" builtinId="9" hidden="1"/>
    <cellStyle name="Followed Hyperlink" xfId="1495" builtinId="9" hidden="1"/>
    <cellStyle name="Followed Hyperlink" xfId="1753" builtinId="9" hidden="1"/>
    <cellStyle name="Followed Hyperlink" xfId="2009" builtinId="9" hidden="1"/>
    <cellStyle name="Followed Hyperlink" xfId="2265" builtinId="9" hidden="1"/>
    <cellStyle name="Followed Hyperlink" xfId="2307" builtinId="9" hidden="1"/>
    <cellStyle name="Followed Hyperlink" xfId="2051" builtinId="9" hidden="1"/>
    <cellStyle name="Followed Hyperlink" xfId="1795" builtinId="9" hidden="1"/>
    <cellStyle name="Followed Hyperlink" xfId="1537" builtinId="9" hidden="1"/>
    <cellStyle name="Followed Hyperlink" xfId="1281" builtinId="9" hidden="1"/>
    <cellStyle name="Followed Hyperlink" xfId="1024" builtinId="9" hidden="1"/>
    <cellStyle name="Followed Hyperlink" xfId="768" builtinId="9" hidden="1"/>
    <cellStyle name="Followed Hyperlink" xfId="512" builtinId="9" hidden="1"/>
    <cellStyle name="Followed Hyperlink" xfId="256" builtinId="9" hidden="1"/>
    <cellStyle name="Followed Hyperlink" xfId="64" builtinId="9" hidden="1"/>
    <cellStyle name="Followed Hyperlink" xfId="132" builtinId="9" hidden="1"/>
    <cellStyle name="Followed Hyperlink" xfId="388" builtinId="9" hidden="1"/>
    <cellStyle name="Followed Hyperlink" xfId="644" builtinId="9" hidden="1"/>
    <cellStyle name="Followed Hyperlink" xfId="900" builtinId="9" hidden="1"/>
    <cellStyle name="Followed Hyperlink" xfId="1156" builtinId="9" hidden="1"/>
    <cellStyle name="Followed Hyperlink" xfId="1413" builtinId="9" hidden="1"/>
    <cellStyle name="Followed Hyperlink" xfId="1669" builtinId="9" hidden="1"/>
    <cellStyle name="Followed Hyperlink" xfId="1927" builtinId="9" hidden="1"/>
    <cellStyle name="Followed Hyperlink" xfId="2183" builtinId="9" hidden="1"/>
    <cellStyle name="Followed Hyperlink" xfId="2389" builtinId="9" hidden="1"/>
    <cellStyle name="Followed Hyperlink" xfId="2133" builtinId="9" hidden="1"/>
    <cellStyle name="Followed Hyperlink" xfId="1877" builtinId="9" hidden="1"/>
    <cellStyle name="Followed Hyperlink" xfId="1619" builtinId="9" hidden="1"/>
    <cellStyle name="Followed Hyperlink" xfId="1363" builtinId="9" hidden="1"/>
    <cellStyle name="Followed Hyperlink" xfId="1106" builtinId="9" hidden="1"/>
    <cellStyle name="Followed Hyperlink" xfId="706" builtinId="9" hidden="1"/>
    <cellStyle name="Followed Hyperlink" xfId="866" builtinId="9" hidden="1"/>
    <cellStyle name="Followed Hyperlink" xfId="754" builtinId="9" hidden="1"/>
    <cellStyle name="Followed Hyperlink" xfId="562" builtinId="9" hidden="1"/>
    <cellStyle name="Followed Hyperlink" xfId="498" builtinId="9" hidden="1"/>
    <cellStyle name="Followed Hyperlink" xfId="690" builtinId="9" hidden="1"/>
    <cellStyle name="Followed Hyperlink" xfId="898" builtinId="9" hidden="1"/>
    <cellStyle name="Followed Hyperlink" xfId="722" builtinId="9" hidden="1"/>
    <cellStyle name="Followed Hyperlink" xfId="1074" builtinId="9" hidden="1"/>
    <cellStyle name="Followed Hyperlink" xfId="1331" builtinId="9" hidden="1"/>
    <cellStyle name="Followed Hyperlink" xfId="1587" builtinId="9" hidden="1"/>
    <cellStyle name="Followed Hyperlink" xfId="1845" builtinId="9" hidden="1"/>
    <cellStyle name="Followed Hyperlink" xfId="2101" builtinId="9" hidden="1"/>
    <cellStyle name="Followed Hyperlink" xfId="2357" builtinId="9" hidden="1"/>
    <cellStyle name="Followed Hyperlink" xfId="2215" builtinId="9" hidden="1"/>
    <cellStyle name="Followed Hyperlink" xfId="1959" builtinId="9" hidden="1"/>
    <cellStyle name="Followed Hyperlink" xfId="1701" builtinId="9" hidden="1"/>
    <cellStyle name="Followed Hyperlink" xfId="1445" builtinId="9" hidden="1"/>
    <cellStyle name="Followed Hyperlink" xfId="1188" builtinId="9" hidden="1"/>
    <cellStyle name="Followed Hyperlink" xfId="932" builtinId="9" hidden="1"/>
    <cellStyle name="Followed Hyperlink" xfId="676" builtinId="9" hidden="1"/>
    <cellStyle name="Followed Hyperlink" xfId="420" builtinId="9" hidden="1"/>
    <cellStyle name="Followed Hyperlink" xfId="164" builtinId="9" hidden="1"/>
    <cellStyle name="Followed Hyperlink" xfId="18" builtinId="9" hidden="1"/>
    <cellStyle name="Followed Hyperlink" xfId="224" builtinId="9" hidden="1"/>
    <cellStyle name="Followed Hyperlink" xfId="480" builtinId="9" hidden="1"/>
    <cellStyle name="Followed Hyperlink" xfId="736" builtinId="9" hidden="1"/>
    <cellStyle name="Followed Hyperlink" xfId="992" builtinId="9" hidden="1"/>
    <cellStyle name="Followed Hyperlink" xfId="1249" builtinId="9" hidden="1"/>
    <cellStyle name="Followed Hyperlink" xfId="1505" builtinId="9" hidden="1"/>
    <cellStyle name="Followed Hyperlink" xfId="1763" builtinId="9" hidden="1"/>
    <cellStyle name="Followed Hyperlink" xfId="2019" builtinId="9" hidden="1"/>
    <cellStyle name="Followed Hyperlink" xfId="2275" builtinId="9" hidden="1"/>
    <cellStyle name="Followed Hyperlink" xfId="2297" builtinId="9" hidden="1"/>
    <cellStyle name="Followed Hyperlink" xfId="2041" builtinId="9" hidden="1"/>
    <cellStyle name="Followed Hyperlink" xfId="1785" builtinId="9" hidden="1"/>
    <cellStyle name="Followed Hyperlink" xfId="1527" builtinId="9" hidden="1"/>
    <cellStyle name="Followed Hyperlink" xfId="1271" builtinId="9" hidden="1"/>
    <cellStyle name="Followed Hyperlink" xfId="1014" builtinId="9" hidden="1"/>
    <cellStyle name="Followed Hyperlink" xfId="758" builtinId="9" hidden="1"/>
    <cellStyle name="Followed Hyperlink" xfId="502" builtinId="9" hidden="1"/>
    <cellStyle name="Followed Hyperlink" xfId="246" builtinId="9" hidden="1"/>
    <cellStyle name="Followed Hyperlink" xfId="102" builtinId="9" hidden="1"/>
    <cellStyle name="Followed Hyperlink" xfId="146" builtinId="9" hidden="1"/>
    <cellStyle name="Followed Hyperlink" xfId="398" builtinId="9" hidden="1"/>
    <cellStyle name="Followed Hyperlink" xfId="654" builtinId="9" hidden="1"/>
    <cellStyle name="Followed Hyperlink" xfId="910" builtinId="9" hidden="1"/>
    <cellStyle name="Followed Hyperlink" xfId="1166" builtinId="9" hidden="1"/>
    <cellStyle name="Followed Hyperlink" xfId="1423" builtinId="9" hidden="1"/>
    <cellStyle name="Followed Hyperlink" xfId="1679" builtinId="9" hidden="1"/>
    <cellStyle name="Followed Hyperlink" xfId="1937" builtinId="9" hidden="1"/>
    <cellStyle name="Followed Hyperlink" xfId="2193" builtinId="9" hidden="1"/>
    <cellStyle name="Followed Hyperlink" xfId="2379" builtinId="9" hidden="1"/>
    <cellStyle name="Followed Hyperlink" xfId="2123" builtinId="9" hidden="1"/>
    <cellStyle name="Followed Hyperlink" xfId="1867" builtinId="9" hidden="1"/>
    <cellStyle name="Followed Hyperlink" xfId="1609" builtinId="9" hidden="1"/>
    <cellStyle name="Followed Hyperlink" xfId="1353" builtinId="9" hidden="1"/>
    <cellStyle name="Followed Hyperlink" xfId="1096" builtinId="9" hidden="1"/>
    <cellStyle name="Followed Hyperlink" xfId="840" builtinId="9" hidden="1"/>
    <cellStyle name="Followed Hyperlink" xfId="584" builtinId="9" hidden="1"/>
    <cellStyle name="Followed Hyperlink" xfId="328" builtinId="9" hidden="1"/>
    <cellStyle name="Followed Hyperlink" xfId="72" builtinId="9" hidden="1"/>
    <cellStyle name="Followed Hyperlink" xfId="28" builtinId="9" hidden="1"/>
    <cellStyle name="Followed Hyperlink" xfId="316" builtinId="9" hidden="1"/>
    <cellStyle name="Followed Hyperlink" xfId="572" builtinId="9" hidden="1"/>
    <cellStyle name="Followed Hyperlink" xfId="828" builtinId="9" hidden="1"/>
    <cellStyle name="Followed Hyperlink" xfId="1084" builtinId="9" hidden="1"/>
    <cellStyle name="Followed Hyperlink" xfId="1341" builtinId="9" hidden="1"/>
    <cellStyle name="Followed Hyperlink" xfId="1597" builtinId="9" hidden="1"/>
    <cellStyle name="Followed Hyperlink" xfId="1855" builtinId="9" hidden="1"/>
    <cellStyle name="Followed Hyperlink" xfId="2111" builtinId="9" hidden="1"/>
    <cellStyle name="Followed Hyperlink" xfId="2367" builtinId="9" hidden="1"/>
    <cellStyle name="Followed Hyperlink" xfId="2205" builtinId="9" hidden="1"/>
    <cellStyle name="Followed Hyperlink" xfId="1949" builtinId="9" hidden="1"/>
    <cellStyle name="Followed Hyperlink" xfId="1691" builtinId="9" hidden="1"/>
    <cellStyle name="Followed Hyperlink" xfId="1435" builtinId="9" hidden="1"/>
    <cellStyle name="Followed Hyperlink" xfId="1178" builtinId="9" hidden="1"/>
    <cellStyle name="Followed Hyperlink" xfId="922" builtinId="9" hidden="1"/>
    <cellStyle name="Followed Hyperlink" xfId="666" builtinId="9" hidden="1"/>
    <cellStyle name="Followed Hyperlink" xfId="306" builtinId="9" hidden="1"/>
    <cellStyle name="Followed Hyperlink" xfId="378" builtinId="9" hidden="1"/>
    <cellStyle name="Followed Hyperlink" xfId="226" builtinId="9" hidden="1"/>
    <cellStyle name="Followed Hyperlink" xfId="426" builtinId="9" hidden="1"/>
    <cellStyle name="Followed Hyperlink" xfId="490" builtinId="9" hidden="1"/>
    <cellStyle name="Followed Hyperlink" xfId="746" builtinId="9" hidden="1"/>
    <cellStyle name="Followed Hyperlink" xfId="1002" builtinId="9" hidden="1"/>
    <cellStyle name="Followed Hyperlink" xfId="1259" builtinId="9" hidden="1"/>
    <cellStyle name="Followed Hyperlink" xfId="1515" builtinId="9" hidden="1"/>
    <cellStyle name="Followed Hyperlink" xfId="1773" builtinId="9" hidden="1"/>
    <cellStyle name="Followed Hyperlink" xfId="2029" builtinId="9" hidden="1"/>
    <cellStyle name="Followed Hyperlink" xfId="2285" builtinId="9" hidden="1"/>
    <cellStyle name="Followed Hyperlink" xfId="2287" builtinId="9" hidden="1"/>
    <cellStyle name="Followed Hyperlink" xfId="2031" builtinId="9" hidden="1"/>
    <cellStyle name="Followed Hyperlink" xfId="1775" builtinId="9" hidden="1"/>
    <cellStyle name="Followed Hyperlink" xfId="1517" builtinId="9" hidden="1"/>
    <cellStyle name="Followed Hyperlink" xfId="1261" builtinId="9" hidden="1"/>
    <cellStyle name="Followed Hyperlink" xfId="1004" builtinId="9" hidden="1"/>
    <cellStyle name="Followed Hyperlink" xfId="748" builtinId="9" hidden="1"/>
    <cellStyle name="Followed Hyperlink" xfId="492" builtinId="9" hidden="1"/>
    <cellStyle name="Followed Hyperlink" xfId="236" builtinId="9" hidden="1"/>
    <cellStyle name="Followed Hyperlink" xfId="24" builtinId="9" hidden="1"/>
    <cellStyle name="Followed Hyperlink" xfId="152" builtinId="9" hidden="1"/>
    <cellStyle name="Followed Hyperlink" xfId="408" builtinId="9" hidden="1"/>
    <cellStyle name="Followed Hyperlink" xfId="664" builtinId="9" hidden="1"/>
    <cellStyle name="Followed Hyperlink" xfId="920" builtinId="9" hidden="1"/>
    <cellStyle name="Followed Hyperlink" xfId="1176" builtinId="9" hidden="1"/>
    <cellStyle name="Followed Hyperlink" xfId="1433" builtinId="9" hidden="1"/>
    <cellStyle name="Followed Hyperlink" xfId="1689" builtinId="9" hidden="1"/>
    <cellStyle name="Followed Hyperlink" xfId="1947" builtinId="9" hidden="1"/>
    <cellStyle name="Followed Hyperlink" xfId="2203" builtinId="9" hidden="1"/>
    <cellStyle name="Followed Hyperlink" xfId="2369" builtinId="9" hidden="1"/>
    <cellStyle name="Followed Hyperlink" xfId="2113" builtinId="9" hidden="1"/>
    <cellStyle name="Followed Hyperlink" xfId="1857" builtinId="9" hidden="1"/>
    <cellStyle name="Followed Hyperlink" xfId="1599" builtinId="9" hidden="1"/>
    <cellStyle name="Followed Hyperlink" xfId="1343" builtinId="9" hidden="1"/>
    <cellStyle name="Followed Hyperlink" xfId="1086" builtinId="9" hidden="1"/>
    <cellStyle name="Followed Hyperlink" xfId="830" builtinId="9" hidden="1"/>
    <cellStyle name="Followed Hyperlink" xfId="574" builtinId="9" hidden="1"/>
    <cellStyle name="Followed Hyperlink" xfId="318" builtinId="9" hidden="1"/>
    <cellStyle name="Followed Hyperlink" xfId="190" builtinId="9" hidden="1"/>
    <cellStyle name="Followed Hyperlink" xfId="194" builtinId="9" hidden="1"/>
    <cellStyle name="Followed Hyperlink" xfId="326" builtinId="9" hidden="1"/>
    <cellStyle name="Followed Hyperlink" xfId="582" builtinId="9" hidden="1"/>
    <cellStyle name="Followed Hyperlink" xfId="838" builtinId="9" hidden="1"/>
    <cellStyle name="Followed Hyperlink" xfId="1094" builtinId="9" hidden="1"/>
    <cellStyle name="Followed Hyperlink" xfId="1351" builtinId="9" hidden="1"/>
    <cellStyle name="Followed Hyperlink" xfId="1607" builtinId="9" hidden="1"/>
    <cellStyle name="Followed Hyperlink" xfId="1865" builtinId="9" hidden="1"/>
    <cellStyle name="Followed Hyperlink" xfId="2121" builtinId="9" hidden="1"/>
    <cellStyle name="Followed Hyperlink" xfId="2377" builtinId="9" hidden="1"/>
    <cellStyle name="Followed Hyperlink" xfId="2195" builtinId="9" hidden="1"/>
    <cellStyle name="Followed Hyperlink" xfId="1939" builtinId="9" hidden="1"/>
    <cellStyle name="Followed Hyperlink" xfId="1681" builtinId="9" hidden="1"/>
    <cellStyle name="Followed Hyperlink" xfId="1425" builtinId="9" hidden="1"/>
    <cellStyle name="Followed Hyperlink" xfId="1168" builtinId="9" hidden="1"/>
    <cellStyle name="Followed Hyperlink" xfId="912" builtinId="9" hidden="1"/>
    <cellStyle name="Followed Hyperlink" xfId="656" builtinId="9" hidden="1"/>
    <cellStyle name="Followed Hyperlink" xfId="400" builtinId="9" hidden="1"/>
    <cellStyle name="Followed Hyperlink" xfId="144" builtinId="9" hidden="1"/>
    <cellStyle name="Followed Hyperlink" xfId="40" builtinId="9" hidden="1"/>
    <cellStyle name="Followed Hyperlink" xfId="244" builtinId="9" hidden="1"/>
    <cellStyle name="Followed Hyperlink" xfId="500" builtinId="9" hidden="1"/>
    <cellStyle name="Followed Hyperlink" xfId="756" builtinId="9" hidden="1"/>
    <cellStyle name="Followed Hyperlink" xfId="1012" builtinId="9" hidden="1"/>
    <cellStyle name="Followed Hyperlink" xfId="1269" builtinId="9" hidden="1"/>
    <cellStyle name="Followed Hyperlink" xfId="1525" builtinId="9" hidden="1"/>
    <cellStyle name="Followed Hyperlink" xfId="1783" builtinId="9" hidden="1"/>
    <cellStyle name="Followed Hyperlink" xfId="2039" builtinId="9" hidden="1"/>
    <cellStyle name="Followed Hyperlink" xfId="2295" builtinId="9" hidden="1"/>
    <cellStyle name="Followed Hyperlink" xfId="2277" builtinId="9" hidden="1"/>
    <cellStyle name="Followed Hyperlink" xfId="2021" builtinId="9" hidden="1"/>
    <cellStyle name="Followed Hyperlink" xfId="1475" builtinId="9" hidden="1"/>
    <cellStyle name="Followed Hyperlink" xfId="1635" builtinId="9" hidden="1"/>
    <cellStyle name="Followed Hyperlink" xfId="1797" builtinId="9" hidden="1"/>
    <cellStyle name="Followed Hyperlink" xfId="1989" builtinId="9" hidden="1"/>
    <cellStyle name="Followed Hyperlink" xfId="1571" builtinId="9" hidden="1"/>
    <cellStyle name="Followed Hyperlink" xfId="1154" builtinId="9" hidden="1"/>
    <cellStyle name="Followed Hyperlink" xfId="1186" builtinId="9" hidden="1"/>
    <cellStyle name="Followed Hyperlink" xfId="994" builtinId="9" hidden="1"/>
    <cellStyle name="Followed Hyperlink" xfId="1058" builtinId="9" hidden="1"/>
    <cellStyle name="Followed Hyperlink" xfId="1218" builtinId="9" hidden="1"/>
    <cellStyle name="Followed Hyperlink" xfId="1443" builtinId="9" hidden="1"/>
    <cellStyle name="Followed Hyperlink" xfId="1957" builtinId="9" hidden="1"/>
    <cellStyle name="Followed Hyperlink" xfId="1861" builtinId="9" hidden="1"/>
    <cellStyle name="Followed Hyperlink" xfId="1667" builtinId="9" hidden="1"/>
    <cellStyle name="Followed Hyperlink" xfId="1507" builtinId="9" hidden="1"/>
    <cellStyle name="Followed Hyperlink" xfId="1347" builtinId="9" hidden="1"/>
    <cellStyle name="Followed Hyperlink" xfId="2213" builtinId="9" hidden="1"/>
    <cellStyle name="Followed Hyperlink" xfId="2359" builtinId="9" hidden="1"/>
    <cellStyle name="Followed Hyperlink" xfId="2103" builtinId="9" hidden="1"/>
    <cellStyle name="Followed Hyperlink" xfId="1847" builtinId="9" hidden="1"/>
    <cellStyle name="Followed Hyperlink" xfId="1589" builtinId="9" hidden="1"/>
    <cellStyle name="Followed Hyperlink" xfId="1333" builtinId="9" hidden="1"/>
    <cellStyle name="Followed Hyperlink" xfId="1076" builtinId="9" hidden="1"/>
    <cellStyle name="Followed Hyperlink" xfId="820" builtinId="9" hidden="1"/>
    <cellStyle name="Followed Hyperlink" xfId="564" builtinId="9" hidden="1"/>
    <cellStyle name="Followed Hyperlink" xfId="308" builtinId="9" hidden="1"/>
    <cellStyle name="Followed Hyperlink" xfId="34" builtinId="9" hidden="1"/>
    <cellStyle name="Followed Hyperlink" xfId="80" builtinId="9" hidden="1"/>
    <cellStyle name="Followed Hyperlink" xfId="336" builtinId="9" hidden="1"/>
    <cellStyle name="Followed Hyperlink" xfId="592" builtinId="9" hidden="1"/>
    <cellStyle name="Followed Hyperlink" xfId="848" builtinId="9" hidden="1"/>
    <cellStyle name="Followed Hyperlink" xfId="1104" builtinId="9" hidden="1"/>
    <cellStyle name="Followed Hyperlink" xfId="1361" builtinId="9" hidden="1"/>
    <cellStyle name="Followed Hyperlink" xfId="1617" builtinId="9" hidden="1"/>
    <cellStyle name="Followed Hyperlink" xfId="1875" builtinId="9" hidden="1"/>
    <cellStyle name="Followed Hyperlink" xfId="2131" builtinId="9" hidden="1"/>
    <cellStyle name="Followed Hyperlink" xfId="2387" builtinId="9" hidden="1"/>
    <cellStyle name="Followed Hyperlink" xfId="2185" builtinId="9" hidden="1"/>
    <cellStyle name="Followed Hyperlink" xfId="1929" builtinId="9" hidden="1"/>
    <cellStyle name="Followed Hyperlink" xfId="1671" builtinId="9" hidden="1"/>
    <cellStyle name="Followed Hyperlink" xfId="1415" builtinId="9" hidden="1"/>
    <cellStyle name="Followed Hyperlink" xfId="1158" builtinId="9" hidden="1"/>
    <cellStyle name="Followed Hyperlink" xfId="902" builtinId="9" hidden="1"/>
    <cellStyle name="Followed Hyperlink" xfId="646" builtinId="9" hidden="1"/>
    <cellStyle name="Followed Hyperlink" xfId="390" builtinId="9" hidden="1"/>
    <cellStyle name="Followed Hyperlink" xfId="150" builtinId="9" hidden="1"/>
    <cellStyle name="Followed Hyperlink" xfId="98" builtinId="9" hidden="1"/>
    <cellStyle name="Followed Hyperlink" xfId="254" builtinId="9" hidden="1"/>
    <cellStyle name="Followed Hyperlink" xfId="510" builtinId="9" hidden="1"/>
    <cellStyle name="Followed Hyperlink" xfId="766" builtinId="9" hidden="1"/>
    <cellStyle name="Followed Hyperlink" xfId="1022" builtinId="9" hidden="1"/>
    <cellStyle name="Followed Hyperlink" xfId="1279" builtinId="9" hidden="1"/>
    <cellStyle name="Followed Hyperlink" xfId="1535" builtinId="9" hidden="1"/>
    <cellStyle name="Followed Hyperlink" xfId="1793" builtinId="9" hidden="1"/>
    <cellStyle name="Followed Hyperlink" xfId="2049" builtinId="9" hidden="1"/>
    <cellStyle name="Followed Hyperlink" xfId="2305" builtinId="9" hidden="1"/>
    <cellStyle name="Followed Hyperlink" xfId="2267" builtinId="9" hidden="1"/>
    <cellStyle name="Followed Hyperlink" xfId="2011" builtinId="9" hidden="1"/>
    <cellStyle name="Followed Hyperlink" xfId="1755" builtinId="9" hidden="1"/>
    <cellStyle name="Followed Hyperlink" xfId="1497" builtinId="9" hidden="1"/>
    <cellStyle name="Followed Hyperlink" xfId="1241" builtinId="9" hidden="1"/>
    <cellStyle name="Followed Hyperlink" xfId="984" builtinId="9" hidden="1"/>
    <cellStyle name="Followed Hyperlink" xfId="728" builtinId="9" hidden="1"/>
    <cellStyle name="Followed Hyperlink" xfId="472" builtinId="9" hidden="1"/>
    <cellStyle name="Followed Hyperlink" xfId="216" builtinId="9" hidden="1"/>
    <cellStyle name="Followed Hyperlink" xfId="22" builtinId="9" hidden="1"/>
    <cellStyle name="Followed Hyperlink" xfId="172" builtinId="9" hidden="1"/>
    <cellStyle name="Followed Hyperlink" xfId="428" builtinId="9" hidden="1"/>
    <cellStyle name="Followed Hyperlink" xfId="684" builtinId="9" hidden="1"/>
    <cellStyle name="Followed Hyperlink" xfId="940" builtinId="9" hidden="1"/>
    <cellStyle name="Followed Hyperlink" xfId="1196" builtinId="9" hidden="1"/>
    <cellStyle name="Followed Hyperlink" xfId="1453" builtinId="9" hidden="1"/>
    <cellStyle name="Followed Hyperlink" xfId="1711" builtinId="9" hidden="1"/>
    <cellStyle name="Followed Hyperlink" xfId="1967" builtinId="9" hidden="1"/>
    <cellStyle name="Followed Hyperlink" xfId="2223" builtinId="9" hidden="1"/>
    <cellStyle name="Followed Hyperlink" xfId="2349" builtinId="9" hidden="1"/>
    <cellStyle name="Followed Hyperlink" xfId="2093" builtinId="9" hidden="1"/>
    <cellStyle name="Followed Hyperlink" xfId="1837" builtinId="9" hidden="1"/>
    <cellStyle name="Followed Hyperlink" xfId="1579" builtinId="9" hidden="1"/>
    <cellStyle name="Followed Hyperlink" xfId="1323" builtinId="9" hidden="1"/>
    <cellStyle name="Followed Hyperlink" xfId="1066" builtinId="9" hidden="1"/>
    <cellStyle name="Followed Hyperlink" xfId="810" builtinId="9" hidden="1"/>
    <cellStyle name="Followed Hyperlink" xfId="554" builtinId="9" hidden="1"/>
    <cellStyle name="Followed Hyperlink" xfId="386" builtinId="9" hidden="1"/>
    <cellStyle name="Followed Hyperlink" xfId="266" builtinId="9" hidden="1"/>
    <cellStyle name="Followed Hyperlink" xfId="234" builtinId="9" hidden="1"/>
    <cellStyle name="Followed Hyperlink" xfId="354" builtinId="9" hidden="1"/>
    <cellStyle name="Followed Hyperlink" xfId="602" builtinId="9" hidden="1"/>
    <cellStyle name="Followed Hyperlink" xfId="858" builtinId="9" hidden="1"/>
    <cellStyle name="Followed Hyperlink" xfId="1114" builtinId="9" hidden="1"/>
    <cellStyle name="Followed Hyperlink" xfId="1371" builtinId="9" hidden="1"/>
    <cellStyle name="Followed Hyperlink" xfId="1627" builtinId="9" hidden="1"/>
    <cellStyle name="Followed Hyperlink" xfId="1885" builtinId="9" hidden="1"/>
    <cellStyle name="Followed Hyperlink" xfId="2141" builtinId="9" hidden="1"/>
    <cellStyle name="Followed Hyperlink" xfId="2397" builtinId="9" hidden="1"/>
    <cellStyle name="Followed Hyperlink" xfId="2175" builtinId="9" hidden="1"/>
    <cellStyle name="Followed Hyperlink" xfId="1919" builtinId="9" hidden="1"/>
    <cellStyle name="Followed Hyperlink" xfId="1661" builtinId="9" hidden="1"/>
    <cellStyle name="Followed Hyperlink" xfId="1405" builtinId="9" hidden="1"/>
    <cellStyle name="Followed Hyperlink" xfId="1148" builtinId="9" hidden="1"/>
    <cellStyle name="Followed Hyperlink" xfId="892" builtinId="9" hidden="1"/>
    <cellStyle name="Followed Hyperlink" xfId="636" builtinId="9" hidden="1"/>
    <cellStyle name="Followed Hyperlink" xfId="380" builtinId="9" hidden="1"/>
    <cellStyle name="Followed Hyperlink" xfId="124" builtinId="9" hidden="1"/>
    <cellStyle name="Followed Hyperlink" xfId="62" builtinId="9" hidden="1"/>
    <cellStyle name="Followed Hyperlink" xfId="264" builtinId="9" hidden="1"/>
    <cellStyle name="Followed Hyperlink" xfId="520" builtinId="9" hidden="1"/>
    <cellStyle name="Followed Hyperlink" xfId="776" builtinId="9" hidden="1"/>
    <cellStyle name="Followed Hyperlink" xfId="1032" builtinId="9" hidden="1"/>
    <cellStyle name="Followed Hyperlink" xfId="1289" builtinId="9" hidden="1"/>
    <cellStyle name="Followed Hyperlink" xfId="1545" builtinId="9" hidden="1"/>
    <cellStyle name="Followed Hyperlink" xfId="1803" builtinId="9" hidden="1"/>
    <cellStyle name="Followed Hyperlink" xfId="2059" builtinId="9" hidden="1"/>
    <cellStyle name="Followed Hyperlink" xfId="2315" builtinId="9" hidden="1"/>
    <cellStyle name="Followed Hyperlink" xfId="2257" builtinId="9" hidden="1"/>
    <cellStyle name="Followed Hyperlink" xfId="2001" builtinId="9" hidden="1"/>
    <cellStyle name="Followed Hyperlink" xfId="1745" builtinId="9" hidden="1"/>
    <cellStyle name="Followed Hyperlink" xfId="1487" builtinId="9" hidden="1"/>
    <cellStyle name="Followed Hyperlink" xfId="1231" builtinId="9" hidden="1"/>
    <cellStyle name="Followed Hyperlink" xfId="974" builtinId="9" hidden="1"/>
    <cellStyle name="Followed Hyperlink" xfId="718" builtinId="9" hidden="1"/>
    <cellStyle name="Followed Hyperlink" xfId="462" builtinId="9" hidden="1"/>
    <cellStyle name="Followed Hyperlink" xfId="206" builtinId="9" hidden="1"/>
    <cellStyle name="Followed Hyperlink" xfId="74" builtinId="9" hidden="1"/>
    <cellStyle name="Followed Hyperlink" xfId="118" builtinId="9" hidden="1"/>
    <cellStyle name="Followed Hyperlink" xfId="438" builtinId="9" hidden="1"/>
    <cellStyle name="Followed Hyperlink" xfId="694" builtinId="9" hidden="1"/>
    <cellStyle name="Followed Hyperlink" xfId="950" builtinId="9" hidden="1"/>
    <cellStyle name="Followed Hyperlink" xfId="1206" builtinId="9" hidden="1"/>
    <cellStyle name="Followed Hyperlink" xfId="1463" builtinId="9" hidden="1"/>
    <cellStyle name="Followed Hyperlink" xfId="1721" builtinId="9" hidden="1"/>
    <cellStyle name="Followed Hyperlink" xfId="1977" builtinId="9" hidden="1"/>
    <cellStyle name="Followed Hyperlink" xfId="2233" builtinId="9" hidden="1"/>
    <cellStyle name="Followed Hyperlink" xfId="2339" builtinId="9" hidden="1"/>
    <cellStyle name="Followed Hyperlink" xfId="2083" builtinId="9" hidden="1"/>
    <cellStyle name="Followed Hyperlink" xfId="1827" builtinId="9" hidden="1"/>
    <cellStyle name="Followed Hyperlink" xfId="1569" builtinId="9" hidden="1"/>
    <cellStyle name="Followed Hyperlink" xfId="1313" builtinId="9" hidden="1"/>
    <cellStyle name="Followed Hyperlink" xfId="1056" builtinId="9" hidden="1"/>
    <cellStyle name="Followed Hyperlink" xfId="800" builtinId="9" hidden="1"/>
    <cellStyle name="Followed Hyperlink" xfId="544" builtinId="9" hidden="1"/>
    <cellStyle name="Followed Hyperlink" xfId="288" builtinId="9" hidden="1"/>
    <cellStyle name="Followed Hyperlink" xfId="46" builtinId="9" hidden="1"/>
    <cellStyle name="Followed Hyperlink" xfId="100" builtinId="9" hidden="1"/>
    <cellStyle name="Followed Hyperlink" xfId="356" builtinId="9" hidden="1"/>
    <cellStyle name="Followed Hyperlink" xfId="612" builtinId="9" hidden="1"/>
    <cellStyle name="Followed Hyperlink" xfId="868" builtinId="9" hidden="1"/>
    <cellStyle name="Followed Hyperlink" xfId="1124" builtinId="9" hidden="1"/>
    <cellStyle name="Followed Hyperlink" xfId="1381" builtinId="9" hidden="1"/>
    <cellStyle name="Followed Hyperlink" xfId="1637" builtinId="9" hidden="1"/>
    <cellStyle name="Followed Hyperlink" xfId="1895" builtinId="9" hidden="1"/>
    <cellStyle name="Followed Hyperlink" xfId="2151" builtinId="9" hidden="1"/>
    <cellStyle name="Followed Hyperlink" xfId="2407" builtinId="9" hidden="1"/>
    <cellStyle name="Followed Hyperlink" xfId="2165" builtinId="9" hidden="1"/>
    <cellStyle name="Followed Hyperlink" xfId="1909" builtinId="9" hidden="1"/>
    <cellStyle name="Followed Hyperlink" xfId="1651" builtinId="9" hidden="1"/>
    <cellStyle name="Followed Hyperlink" xfId="1395" builtinId="9" hidden="1"/>
    <cellStyle name="Followed Hyperlink" xfId="1138" builtinId="9" hidden="1"/>
    <cellStyle name="Followed Hyperlink" xfId="674" builtinId="9" hidden="1"/>
    <cellStyle name="Followed Hyperlink" xfId="850" builtinId="9" hidden="1"/>
    <cellStyle name="Followed Hyperlink" xfId="818" builtinId="9" hidden="1"/>
    <cellStyle name="Followed Hyperlink" xfId="610" builtinId="9" hidden="1"/>
    <cellStyle name="Followed Hyperlink" xfId="514" builtinId="9" hidden="1"/>
    <cellStyle name="Followed Hyperlink" xfId="626" builtinId="9" hidden="1"/>
    <cellStyle name="Followed Hyperlink" xfId="914" builtinId="9" hidden="1"/>
    <cellStyle name="Followed Hyperlink" xfId="738" builtinId="9" hidden="1"/>
    <cellStyle name="Followed Hyperlink" xfId="1042" builtinId="9" hidden="1"/>
    <cellStyle name="Followed Hyperlink" xfId="1299" builtinId="9" hidden="1"/>
    <cellStyle name="Followed Hyperlink" xfId="1555" builtinId="9" hidden="1"/>
    <cellStyle name="Followed Hyperlink" xfId="1813" builtinId="9" hidden="1"/>
    <cellStyle name="Followed Hyperlink" xfId="2069" builtinId="9" hidden="1"/>
    <cellStyle name="Followed Hyperlink" xfId="2325" builtinId="9" hidden="1"/>
    <cellStyle name="Followed Hyperlink" xfId="2247" builtinId="9" hidden="1"/>
    <cellStyle name="Followed Hyperlink" xfId="1991" builtinId="9" hidden="1"/>
    <cellStyle name="Followed Hyperlink" xfId="1735" builtinId="9" hidden="1"/>
    <cellStyle name="Followed Hyperlink" xfId="1477" builtinId="9" hidden="1"/>
    <cellStyle name="Followed Hyperlink" xfId="1220" builtinId="9" hidden="1"/>
    <cellStyle name="Followed Hyperlink" xfId="964" builtinId="9" hidden="1"/>
    <cellStyle name="Followed Hyperlink" xfId="708" builtinId="9" hidden="1"/>
    <cellStyle name="Followed Hyperlink" xfId="452" builtinId="9" hidden="1"/>
    <cellStyle name="Followed Hyperlink" xfId="196" builtinId="9" hidden="1"/>
    <cellStyle name="Followed Hyperlink" xfId="4" builtinId="9" hidden="1"/>
    <cellStyle name="Followed Hyperlink" xfId="192" builtinId="9" hidden="1"/>
    <cellStyle name="Followed Hyperlink" xfId="448" builtinId="9" hidden="1"/>
    <cellStyle name="Followed Hyperlink" xfId="704" builtinId="9" hidden="1"/>
    <cellStyle name="Followed Hyperlink" xfId="960" builtinId="9" hidden="1"/>
    <cellStyle name="Followed Hyperlink" xfId="1216" builtinId="9" hidden="1"/>
    <cellStyle name="Followed Hyperlink" xfId="1473" builtinId="9" hidden="1"/>
    <cellStyle name="Followed Hyperlink" xfId="1731" builtinId="9" hidden="1"/>
    <cellStyle name="Followed Hyperlink" xfId="1987" builtinId="9" hidden="1"/>
    <cellStyle name="Followed Hyperlink" xfId="2243" builtinId="9" hidden="1"/>
    <cellStyle name="Followed Hyperlink" xfId="2329" builtinId="9" hidden="1"/>
    <cellStyle name="Followed Hyperlink" xfId="2073" builtinId="9" hidden="1"/>
    <cellStyle name="Followed Hyperlink" xfId="1817" builtinId="9" hidden="1"/>
    <cellStyle name="Followed Hyperlink" xfId="1559" builtinId="9" hidden="1"/>
    <cellStyle name="Followed Hyperlink" xfId="1303" builtinId="9" hidden="1"/>
    <cellStyle name="Followed Hyperlink" xfId="1046" builtinId="9" hidden="1"/>
    <cellStyle name="Followed Hyperlink" xfId="790" builtinId="9" hidden="1"/>
    <cellStyle name="Followed Hyperlink" xfId="534" builtinId="9" hidden="1"/>
    <cellStyle name="Followed Hyperlink" xfId="278" builtinId="9" hidden="1"/>
    <cellStyle name="Followed Hyperlink" xfId="110" builtinId="9" hidden="1"/>
    <cellStyle name="Followed Hyperlink" xfId="166" builtinId="9" hidden="1"/>
    <cellStyle name="Followed Hyperlink" xfId="366" builtinId="9" hidden="1"/>
    <cellStyle name="Followed Hyperlink" xfId="622" builtinId="9" hidden="1"/>
    <cellStyle name="Followed Hyperlink" xfId="878" builtinId="9" hidden="1"/>
    <cellStyle name="Followed Hyperlink" xfId="1134" builtinId="9" hidden="1"/>
    <cellStyle name="Followed Hyperlink" xfId="1391" builtinId="9" hidden="1"/>
    <cellStyle name="Followed Hyperlink" xfId="1647" builtinId="9" hidden="1"/>
    <cellStyle name="Followed Hyperlink" xfId="1905" builtinId="9" hidden="1"/>
    <cellStyle name="Followed Hyperlink" xfId="2161" builtinId="9" hidden="1"/>
    <cellStyle name="Followed Hyperlink" xfId="2411" builtinId="9" hidden="1"/>
    <cellStyle name="Followed Hyperlink" xfId="2155" builtinId="9" hidden="1"/>
    <cellStyle name="Followed Hyperlink" xfId="1899" builtinId="9" hidden="1"/>
    <cellStyle name="Followed Hyperlink" xfId="1641" builtinId="9" hidden="1"/>
    <cellStyle name="Followed Hyperlink" xfId="1385" builtinId="9" hidden="1"/>
    <cellStyle name="Followed Hyperlink" xfId="1128" builtinId="9" hidden="1"/>
    <cellStyle name="Followed Hyperlink" xfId="872" builtinId="9" hidden="1"/>
    <cellStyle name="Followed Hyperlink" xfId="616" builtinId="9" hidden="1"/>
    <cellStyle name="Followed Hyperlink" xfId="360" builtinId="9" hidden="1"/>
    <cellStyle name="Followed Hyperlink" xfId="104" builtinId="9" hidden="1"/>
    <cellStyle name="Followed Hyperlink" xfId="50" builtinId="9" hidden="1"/>
    <cellStyle name="Followed Hyperlink" xfId="284" builtinId="9" hidden="1"/>
    <cellStyle name="Followed Hyperlink" xfId="540" builtinId="9" hidden="1"/>
    <cellStyle name="Followed Hyperlink" xfId="796" builtinId="9" hidden="1"/>
    <cellStyle name="Followed Hyperlink" xfId="1052" builtinId="9" hidden="1"/>
    <cellStyle name="Followed Hyperlink" xfId="1309" builtinId="9" hidden="1"/>
    <cellStyle name="Followed Hyperlink" xfId="1565" builtinId="9" hidden="1"/>
    <cellStyle name="Followed Hyperlink" xfId="1823" builtinId="9" hidden="1"/>
    <cellStyle name="Followed Hyperlink" xfId="2079" builtinId="9" hidden="1"/>
    <cellStyle name="Followed Hyperlink" xfId="2335" builtinId="9" hidden="1"/>
    <cellStyle name="Followed Hyperlink" xfId="2237" builtinId="9" hidden="1"/>
    <cellStyle name="Followed Hyperlink" xfId="1981" builtinId="9" hidden="1"/>
    <cellStyle name="Followed Hyperlink" xfId="1725" builtinId="9" hidden="1"/>
    <cellStyle name="Followed Hyperlink" xfId="1467" builtinId="9" hidden="1"/>
    <cellStyle name="Followed Hyperlink" xfId="1210" builtinId="9" hidden="1"/>
    <cellStyle name="Followed Hyperlink" xfId="954" builtinId="9" hidden="1"/>
    <cellStyle name="Followed Hyperlink" xfId="698" builtinId="9" hidden="1"/>
    <cellStyle name="Followed Hyperlink" xfId="290" builtinId="9" hidden="1"/>
    <cellStyle name="Followed Hyperlink" xfId="442" builtinId="9" hidden="1"/>
    <cellStyle name="Followed Hyperlink" xfId="202" builtinId="9" hidden="1"/>
    <cellStyle name="Followed Hyperlink" xfId="450" builtinId="9" hidden="1"/>
    <cellStyle name="Followed Hyperlink" xfId="458" builtinId="9" hidden="1"/>
    <cellStyle name="Followed Hyperlink" xfId="714" builtinId="9" hidden="1"/>
    <cellStyle name="Followed Hyperlink" xfId="970" builtinId="9" hidden="1"/>
    <cellStyle name="Followed Hyperlink" xfId="1227" builtinId="9" hidden="1"/>
    <cellStyle name="Followed Hyperlink" xfId="1483" builtinId="9" hidden="1"/>
    <cellStyle name="Followed Hyperlink" xfId="1741" builtinId="9" hidden="1"/>
    <cellStyle name="Followed Hyperlink" xfId="1997" builtinId="9" hidden="1"/>
    <cellStyle name="Followed Hyperlink" xfId="2253" builtinId="9" hidden="1"/>
    <cellStyle name="Followed Hyperlink" xfId="2319" builtinId="9" hidden="1"/>
    <cellStyle name="Followed Hyperlink" xfId="2063" builtinId="9" hidden="1"/>
    <cellStyle name="Followed Hyperlink" xfId="1807" builtinId="9" hidden="1"/>
    <cellStyle name="Followed Hyperlink" xfId="1549" builtinId="9" hidden="1"/>
    <cellStyle name="Followed Hyperlink" xfId="1293" builtinId="9" hidden="1"/>
    <cellStyle name="Followed Hyperlink" xfId="1036" builtinId="9" hidden="1"/>
    <cellStyle name="Followed Hyperlink" xfId="780" builtinId="9" hidden="1"/>
    <cellStyle name="Followed Hyperlink" xfId="524" builtinId="9" hidden="1"/>
    <cellStyle name="Followed Hyperlink" xfId="268" builtinId="9" hidden="1"/>
    <cellStyle name="Followed Hyperlink" xfId="60" builtinId="9" hidden="1"/>
    <cellStyle name="Followed Hyperlink" xfId="120" builtinId="9" hidden="1"/>
    <cellStyle name="Followed Hyperlink" xfId="376" builtinId="9" hidden="1"/>
    <cellStyle name="Followed Hyperlink" xfId="632" builtinId="9" hidden="1"/>
    <cellStyle name="Followed Hyperlink" xfId="888" builtinId="9" hidden="1"/>
    <cellStyle name="Followed Hyperlink" xfId="1144" builtinId="9" hidden="1"/>
    <cellStyle name="Followed Hyperlink" xfId="1401" builtinId="9" hidden="1"/>
    <cellStyle name="Followed Hyperlink" xfId="1657" builtinId="9" hidden="1"/>
    <cellStyle name="Followed Hyperlink" xfId="1915" builtinId="9" hidden="1"/>
    <cellStyle name="Followed Hyperlink" xfId="2171" builtinId="9" hidden="1"/>
    <cellStyle name="Followed Hyperlink" xfId="2401" builtinId="9" hidden="1"/>
    <cellStyle name="Followed Hyperlink" xfId="2145" builtinId="9" hidden="1"/>
    <cellStyle name="Followed Hyperlink" xfId="1889" builtinId="9" hidden="1"/>
    <cellStyle name="Followed Hyperlink" xfId="1631" builtinId="9" hidden="1"/>
    <cellStyle name="Followed Hyperlink" xfId="1375" builtinId="9" hidden="1"/>
    <cellStyle name="Followed Hyperlink" xfId="1118" builtinId="9" hidden="1"/>
    <cellStyle name="Followed Hyperlink" xfId="862" builtinId="9" hidden="1"/>
    <cellStyle name="Followed Hyperlink" xfId="606" builtinId="9" hidden="1"/>
    <cellStyle name="Followed Hyperlink" xfId="350" builtinId="9" hidden="1"/>
    <cellStyle name="Followed Hyperlink" xfId="178" builtinId="9" hidden="1"/>
    <cellStyle name="Followed Hyperlink" xfId="142" builtinId="9" hidden="1"/>
    <cellStyle name="Followed Hyperlink" xfId="294" builtinId="9" hidden="1"/>
    <cellStyle name="Followed Hyperlink" xfId="550" builtinId="9" hidden="1"/>
    <cellStyle name="Followed Hyperlink" xfId="806" builtinId="9" hidden="1"/>
    <cellStyle name="Followed Hyperlink" xfId="1062" builtinId="9" hidden="1"/>
    <cellStyle name="Followed Hyperlink" xfId="1319" builtinId="9" hidden="1"/>
    <cellStyle name="Followed Hyperlink" xfId="1575" builtinId="9" hidden="1"/>
    <cellStyle name="Followed Hyperlink" xfId="1833" builtinId="9" hidden="1"/>
    <cellStyle name="Followed Hyperlink" xfId="2089" builtinId="9" hidden="1"/>
    <cellStyle name="Followed Hyperlink" xfId="2345" builtinId="9" hidden="1"/>
    <cellStyle name="Followed Hyperlink" xfId="2227" builtinId="9" hidden="1"/>
    <cellStyle name="Followed Hyperlink" xfId="1971" builtinId="9" hidden="1"/>
    <cellStyle name="Followed Hyperlink" xfId="1715" builtinId="9" hidden="1"/>
    <cellStyle name="Followed Hyperlink" xfId="1457" builtinId="9" hidden="1"/>
    <cellStyle name="Followed Hyperlink" xfId="1200" builtinId="9" hidden="1"/>
    <cellStyle name="Followed Hyperlink" xfId="944" builtinId="9" hidden="1"/>
    <cellStyle name="Followed Hyperlink" xfId="688" builtinId="9" hidden="1"/>
    <cellStyle name="Followed Hyperlink" xfId="432" builtinId="9" hidden="1"/>
    <cellStyle name="Followed Hyperlink" xfId="176" builtinId="9" hidden="1"/>
    <cellStyle name="Followed Hyperlink" xfId="16" builtinId="9" hidden="1"/>
    <cellStyle name="Followed Hyperlink" xfId="212" builtinId="9" hidden="1"/>
    <cellStyle name="Followed Hyperlink" xfId="468" builtinId="9" hidden="1"/>
    <cellStyle name="Followed Hyperlink" xfId="724" builtinId="9" hidden="1"/>
    <cellStyle name="Followed Hyperlink" xfId="2007" builtinId="9" hidden="1"/>
    <cellStyle name="Followed Hyperlink" xfId="1815" builtinId="9" hidden="1"/>
    <cellStyle name="Followed Hyperlink" xfId="1685" builtinId="9" hidden="1"/>
    <cellStyle name="Followed Hyperlink" xfId="1493" builtinId="9" hidden="1"/>
    <cellStyle name="Followed Hyperlink" xfId="1301" builtinId="9" hidden="1"/>
    <cellStyle name="Followed Hyperlink" xfId="1172" builtinId="9" hidden="1"/>
    <cellStyle name="Followed Hyperlink" xfId="980" builtinId="9" hidden="1"/>
    <cellStyle name="Followed Hyperlink" xfId="788" builtinId="9" hidden="1"/>
    <cellStyle name="Followed Hyperlink" xfId="1108" builtinId="9" hidden="1"/>
    <cellStyle name="Followed Hyperlink" xfId="1621" builtinId="9" hidden="1"/>
    <cellStyle name="Followed Hyperlink" xfId="2135" builtinId="9" hidden="1"/>
    <cellStyle name="Followed Hyperlink" xfId="2373" builtinId="9" hidden="1"/>
    <cellStyle name="Followed Hyperlink" xfId="2263" builtinId="9" hidden="1"/>
    <cellStyle name="Followed Hyperlink" xfId="2391" builtinId="9" hidden="1"/>
    <cellStyle name="Followed Hyperlink" xfId="2245" builtinId="9" hidden="1"/>
    <cellStyle name="Followed Hyperlink" xfId="2053" builtinId="9" hidden="1"/>
    <cellStyle name="Followed Hyperlink" xfId="2117" builtinId="9" hidden="1"/>
    <cellStyle name="Followed Hyperlink" xfId="2181" builtinId="9" hidden="1"/>
    <cellStyle name="Followed Hyperlink" xfId="2199" builtinId="9" hidden="1"/>
    <cellStyle name="Followed Hyperlink" xfId="2327" builtinId="9" hidden="1"/>
    <cellStyle name="Followed Hyperlink" xfId="2309" builtinId="9" hidden="1"/>
    <cellStyle name="Followed Hyperlink" xfId="1879" builtinId="9" hidden="1"/>
    <cellStyle name="Followed Hyperlink" xfId="1365" builtinId="9" hidden="1"/>
    <cellStyle name="Followed Hyperlink" xfId="852" builtinId="9" hidden="1"/>
    <cellStyle name="Followed Hyperlink" xfId="916" builtinId="9" hidden="1"/>
    <cellStyle name="Followed Hyperlink" xfId="1044" builtinId="9" hidden="1"/>
    <cellStyle name="Followed Hyperlink" xfId="1237" builtinId="9" hidden="1"/>
    <cellStyle name="Followed Hyperlink" xfId="1429" builtinId="9" hidden="1"/>
    <cellStyle name="Followed Hyperlink" xfId="1557" builtinId="9" hidden="1"/>
    <cellStyle name="Followed Hyperlink" xfId="1751" builtinId="9" hidden="1"/>
    <cellStyle name="Followed Hyperlink" xfId="1943" builtinId="9" hidden="1"/>
    <cellStyle name="Followed Hyperlink" xfId="2071" builtinId="9" hidden="1"/>
    <cellStyle name="Followed Hyperlink" xfId="596" builtinId="9" hidden="1"/>
    <cellStyle name="Followed Hyperlink" xfId="340" builtinId="9" hidden="1"/>
    <cellStyle name="Followed Hyperlink" xfId="84" builtinId="9" hidden="1"/>
    <cellStyle name="Followed Hyperlink" xfId="36" builtinId="9" hidden="1"/>
    <cellStyle name="Followed Hyperlink" xfId="304" builtinId="9" hidden="1"/>
    <cellStyle name="Followed Hyperlink" xfId="560" builtinId="9" hidden="1"/>
    <cellStyle name="Followed Hyperlink" xfId="816" builtinId="9" hidden="1"/>
    <cellStyle name="Followed Hyperlink" xfId="1072" builtinId="9" hidden="1"/>
    <cellStyle name="Followed Hyperlink" xfId="1329" builtinId="9" hidden="1"/>
    <cellStyle name="Followed Hyperlink" xfId="1585" builtinId="9" hidden="1"/>
    <cellStyle name="Followed Hyperlink" xfId="1843" builtinId="9" hidden="1"/>
    <cellStyle name="Followed Hyperlink" xfId="2099" builtinId="9" hidden="1"/>
    <cellStyle name="Followed Hyperlink" xfId="2355" builtinId="9" hidden="1"/>
    <cellStyle name="Followed Hyperlink" xfId="2217" builtinId="9" hidden="1"/>
    <cellStyle name="Followed Hyperlink" xfId="1961" builtinId="9" hidden="1"/>
    <cellStyle name="Followed Hyperlink" xfId="1705" builtinId="9" hidden="1"/>
    <cellStyle name="Followed Hyperlink" xfId="1447" builtinId="9" hidden="1"/>
    <cellStyle name="Followed Hyperlink" xfId="1190" builtinId="9" hidden="1"/>
    <cellStyle name="Followed Hyperlink" xfId="934" builtinId="9" hidden="1"/>
    <cellStyle name="Followed Hyperlink" xfId="678" builtinId="9" hidden="1"/>
    <cellStyle name="Followed Hyperlink" xfId="422" builtinId="9" hidden="1"/>
    <cellStyle name="Followed Hyperlink" xfId="130" builtinId="9" hidden="1"/>
    <cellStyle name="Followed Hyperlink" xfId="78" builtinId="9" hidden="1"/>
    <cellStyle name="Followed Hyperlink" xfId="222" builtinId="9" hidden="1"/>
    <cellStyle name="Followed Hyperlink" xfId="478" builtinId="9" hidden="1"/>
    <cellStyle name="Followed Hyperlink" xfId="734" builtinId="9" hidden="1"/>
    <cellStyle name="Followed Hyperlink" xfId="990" builtinId="9" hidden="1"/>
    <cellStyle name="Followed Hyperlink" xfId="1247" builtinId="9" hidden="1"/>
    <cellStyle name="Followed Hyperlink" xfId="1503" builtinId="9" hidden="1"/>
    <cellStyle name="Followed Hyperlink" xfId="1761" builtinId="9" hidden="1"/>
    <cellStyle name="Followed Hyperlink" xfId="2017" builtinId="9" hidden="1"/>
    <cellStyle name="Followed Hyperlink" xfId="2273" builtinId="9" hidden="1"/>
    <cellStyle name="Followed Hyperlink" xfId="2299" builtinId="9" hidden="1"/>
    <cellStyle name="Followed Hyperlink" xfId="2043" builtinId="9" hidden="1"/>
    <cellStyle name="Followed Hyperlink" xfId="1787" builtinId="9" hidden="1"/>
    <cellStyle name="Followed Hyperlink" xfId="1529" builtinId="9" hidden="1"/>
    <cellStyle name="Followed Hyperlink" xfId="1273" builtinId="9" hidden="1"/>
    <cellStyle name="Followed Hyperlink" xfId="1016" builtinId="9" hidden="1"/>
    <cellStyle name="Followed Hyperlink" xfId="760" builtinId="9" hidden="1"/>
    <cellStyle name="Followed Hyperlink" xfId="504" builtinId="9" hidden="1"/>
    <cellStyle name="Followed Hyperlink" xfId="248" builtinId="9" hidden="1"/>
    <cellStyle name="Followed Hyperlink" xfId="48" builtinId="9" hidden="1"/>
    <cellStyle name="Followed Hyperlink" xfId="140" builtinId="9" hidden="1"/>
    <cellStyle name="Followed Hyperlink" xfId="396" builtinId="9" hidden="1"/>
    <cellStyle name="Followed Hyperlink" xfId="652" builtinId="9" hidden="1"/>
    <cellStyle name="Followed Hyperlink" xfId="908" builtinId="9" hidden="1"/>
    <cellStyle name="Followed Hyperlink" xfId="1164" builtinId="9" hidden="1"/>
    <cellStyle name="Followed Hyperlink" xfId="1421" builtinId="9" hidden="1"/>
    <cellStyle name="Followed Hyperlink" xfId="1677" builtinId="9" hidden="1"/>
    <cellStyle name="Followed Hyperlink" xfId="1935" builtinId="9" hidden="1"/>
    <cellStyle name="Followed Hyperlink" xfId="2191" builtinId="9" hidden="1"/>
    <cellStyle name="Followed Hyperlink" xfId="2381" builtinId="9" hidden="1"/>
    <cellStyle name="Followed Hyperlink" xfId="2125" builtinId="9" hidden="1"/>
    <cellStyle name="Followed Hyperlink" xfId="1869" builtinId="9" hidden="1"/>
    <cellStyle name="Followed Hyperlink" xfId="1611" builtinId="9" hidden="1"/>
    <cellStyle name="Followed Hyperlink" xfId="1355" builtinId="9" hidden="1"/>
    <cellStyle name="Followed Hyperlink" xfId="1098" builtinId="9" hidden="1"/>
    <cellStyle name="Followed Hyperlink" xfId="842" builtinId="9" hidden="1"/>
    <cellStyle name="Followed Hyperlink" xfId="586" builtinId="9" hidden="1"/>
    <cellStyle name="Followed Hyperlink" xfId="362" builtinId="9" hidden="1"/>
    <cellStyle name="Followed Hyperlink" xfId="242" builtinId="9" hidden="1"/>
    <cellStyle name="Followed Hyperlink" xfId="258" builtinId="9" hidden="1"/>
    <cellStyle name="Followed Hyperlink" xfId="370" builtinId="9" hidden="1"/>
    <cellStyle name="Followed Hyperlink" xfId="570" builtinId="9" hidden="1"/>
    <cellStyle name="Followed Hyperlink" xfId="826" builtinId="9" hidden="1"/>
    <cellStyle name="Followed Hyperlink" xfId="1082" builtinId="9" hidden="1"/>
    <cellStyle name="Followed Hyperlink" xfId="1339" builtinId="9" hidden="1"/>
    <cellStyle name="Followed Hyperlink" xfId="1595" builtinId="9" hidden="1"/>
    <cellStyle name="Followed Hyperlink" xfId="1853" builtinId="9" hidden="1"/>
    <cellStyle name="Followed Hyperlink" xfId="2109" builtinId="9" hidden="1"/>
    <cellStyle name="Followed Hyperlink" xfId="2365" builtinId="9" hidden="1"/>
    <cellStyle name="Followed Hyperlink" xfId="2207" builtinId="9" hidden="1"/>
    <cellStyle name="Followed Hyperlink" xfId="1951" builtinId="9" hidden="1"/>
    <cellStyle name="Followed Hyperlink" xfId="1693" builtinId="9" hidden="1"/>
    <cellStyle name="Followed Hyperlink" xfId="1437" builtinId="9" hidden="1"/>
    <cellStyle name="Followed Hyperlink" xfId="1180" builtinId="9" hidden="1"/>
    <cellStyle name="Followed Hyperlink" xfId="924" builtinId="9" hidden="1"/>
    <cellStyle name="Followed Hyperlink" xfId="668" builtinId="9" hidden="1"/>
    <cellStyle name="Followed Hyperlink" xfId="412" builtinId="9" hidden="1"/>
    <cellStyle name="Followed Hyperlink" xfId="156" builtinId="9" hidden="1"/>
    <cellStyle name="Followed Hyperlink" xfId="12" builtinId="9" hidden="1"/>
    <cellStyle name="Followed Hyperlink" xfId="232" builtinId="9" hidden="1"/>
    <cellStyle name="Followed Hyperlink" xfId="488" builtinId="9" hidden="1"/>
    <cellStyle name="Followed Hyperlink" xfId="744" builtinId="9" hidden="1"/>
    <cellStyle name="Followed Hyperlink" xfId="1000" builtinId="9" hidden="1"/>
    <cellStyle name="Followed Hyperlink" xfId="1257" builtinId="9" hidden="1"/>
    <cellStyle name="Followed Hyperlink" xfId="1513" builtinId="9" hidden="1"/>
    <cellStyle name="Followed Hyperlink" xfId="1771" builtinId="9" hidden="1"/>
    <cellStyle name="Followed Hyperlink" xfId="2027" builtinId="9" hidden="1"/>
    <cellStyle name="Followed Hyperlink" xfId="2283" builtinId="9" hidden="1"/>
    <cellStyle name="Followed Hyperlink" xfId="2289" builtinId="9" hidden="1"/>
    <cellStyle name="Followed Hyperlink" xfId="2033" builtinId="9" hidden="1"/>
    <cellStyle name="Followed Hyperlink" xfId="1777" builtinId="9" hidden="1"/>
    <cellStyle name="Followed Hyperlink" xfId="1519" builtinId="9" hidden="1"/>
    <cellStyle name="Followed Hyperlink" xfId="1263" builtinId="9" hidden="1"/>
    <cellStyle name="Followed Hyperlink" xfId="1006" builtinId="9" hidden="1"/>
    <cellStyle name="Followed Hyperlink" xfId="750" builtinId="9" hidden="1"/>
    <cellStyle name="Followed Hyperlink" xfId="494" builtinId="9" hidden="1"/>
    <cellStyle name="Followed Hyperlink" xfId="238" builtinId="9" hidden="1"/>
    <cellStyle name="Followed Hyperlink" xfId="106" builtinId="9" hidden="1"/>
    <cellStyle name="Followed Hyperlink" xfId="138" builtinId="9" hidden="1"/>
    <cellStyle name="Followed Hyperlink" xfId="406" builtinId="9" hidden="1"/>
    <cellStyle name="Followed Hyperlink" xfId="662" builtinId="9" hidden="1"/>
    <cellStyle name="Followed Hyperlink" xfId="918" builtinId="9" hidden="1"/>
    <cellStyle name="Followed Hyperlink" xfId="1174" builtinId="9" hidden="1"/>
    <cellStyle name="Followed Hyperlink" xfId="1431" builtinId="9" hidden="1"/>
    <cellStyle name="Followed Hyperlink" xfId="1687" builtinId="9" hidden="1"/>
    <cellStyle name="Followed Hyperlink" xfId="1945" builtinId="9" hidden="1"/>
    <cellStyle name="Followed Hyperlink" xfId="2201" builtinId="9" hidden="1"/>
    <cellStyle name="Followed Hyperlink" xfId="2371" builtinId="9" hidden="1"/>
    <cellStyle name="Followed Hyperlink" xfId="2115" builtinId="9" hidden="1"/>
    <cellStyle name="Followed Hyperlink" xfId="1859" builtinId="9" hidden="1"/>
    <cellStyle name="Followed Hyperlink" xfId="1601" builtinId="9" hidden="1"/>
    <cellStyle name="Followed Hyperlink" xfId="1345" builtinId="9" hidden="1"/>
    <cellStyle name="Followed Hyperlink" xfId="1088" builtinId="9" hidden="1"/>
    <cellStyle name="Followed Hyperlink" xfId="832" builtinId="9" hidden="1"/>
    <cellStyle name="Followed Hyperlink" xfId="576" builtinId="9" hidden="1"/>
    <cellStyle name="Followed Hyperlink" xfId="320" builtinId="9" hidden="1"/>
    <cellStyle name="Followed Hyperlink" xfId="26" builtinId="9" hidden="1"/>
    <cellStyle name="Followed Hyperlink" xfId="68" builtinId="9" hidden="1"/>
    <cellStyle name="Followed Hyperlink" xfId="324" builtinId="9" hidden="1"/>
    <cellStyle name="Followed Hyperlink" xfId="580" builtinId="9" hidden="1"/>
    <cellStyle name="Followed Hyperlink" xfId="836" builtinId="9" hidden="1"/>
    <cellStyle name="Followed Hyperlink" xfId="1092" builtinId="9" hidden="1"/>
    <cellStyle name="Followed Hyperlink" xfId="1349" builtinId="9" hidden="1"/>
    <cellStyle name="Followed Hyperlink" xfId="1605" builtinId="9" hidden="1"/>
    <cellStyle name="Followed Hyperlink" xfId="1863" builtinId="9" hidden="1"/>
    <cellStyle name="Followed Hyperlink" xfId="2119" builtinId="9" hidden="1"/>
    <cellStyle name="Followed Hyperlink" xfId="2375" builtinId="9" hidden="1"/>
    <cellStyle name="Followed Hyperlink" xfId="2197" builtinId="9" hidden="1"/>
    <cellStyle name="Followed Hyperlink" xfId="1941" builtinId="9" hidden="1"/>
    <cellStyle name="Followed Hyperlink" xfId="1683" builtinId="9" hidden="1"/>
    <cellStyle name="Followed Hyperlink" xfId="1427" builtinId="9" hidden="1"/>
    <cellStyle name="Followed Hyperlink" xfId="1170" builtinId="9" hidden="1"/>
    <cellStyle name="Followed Hyperlink" xfId="658" builtinId="9" hidden="1"/>
    <cellStyle name="Followed Hyperlink" xfId="834" builtinId="9" hidden="1"/>
    <cellStyle name="Followed Hyperlink" xfId="882" builtinId="9" hidden="1"/>
    <cellStyle name="Followed Hyperlink" xfId="594" builtinId="9" hidden="1"/>
    <cellStyle name="Followed Hyperlink" xfId="482" builtinId="9" hidden="1"/>
    <cellStyle name="Followed Hyperlink" xfId="530" builtinId="9" hidden="1"/>
    <cellStyle name="Followed Hyperlink" xfId="930" builtinId="9" hidden="1"/>
    <cellStyle name="Followed Hyperlink" xfId="770" builtinId="9" hidden="1"/>
    <cellStyle name="Followed Hyperlink" xfId="1010" builtinId="9" hidden="1"/>
    <cellStyle name="Followed Hyperlink" xfId="1267" builtinId="9" hidden="1"/>
    <cellStyle name="Followed Hyperlink" xfId="1523" builtinId="9" hidden="1"/>
    <cellStyle name="Followed Hyperlink" xfId="1781" builtinId="9" hidden="1"/>
    <cellStyle name="Followed Hyperlink" xfId="2037" builtinId="9" hidden="1"/>
    <cellStyle name="Followed Hyperlink" xfId="2293" builtinId="9" hidden="1"/>
    <cellStyle name="Followed Hyperlink" xfId="2279" builtinId="9" hidden="1"/>
    <cellStyle name="Followed Hyperlink" xfId="2023" builtinId="9" hidden="1"/>
    <cellStyle name="Followed Hyperlink" xfId="1767" builtinId="9" hidden="1"/>
    <cellStyle name="Followed Hyperlink" xfId="1509" builtinId="9" hidden="1"/>
    <cellStyle name="Followed Hyperlink" xfId="1253" builtinId="9" hidden="1"/>
    <cellStyle name="Followed Hyperlink" xfId="996" builtinId="9" hidden="1"/>
    <cellStyle name="Followed Hyperlink" xfId="740" builtinId="9" hidden="1"/>
    <cellStyle name="Followed Hyperlink" xfId="484" builtinId="9" hidden="1"/>
    <cellStyle name="Followed Hyperlink" xfId="228" builtinId="9" hidden="1"/>
    <cellStyle name="Followed Hyperlink" xfId="14" builtinId="9" hidden="1"/>
    <cellStyle name="Followed Hyperlink" xfId="160" builtinId="9" hidden="1"/>
    <cellStyle name="Followed Hyperlink" xfId="416" builtinId="9" hidden="1"/>
    <cellStyle name="Followed Hyperlink" xfId="672" builtinId="9" hidden="1"/>
    <cellStyle name="Followed Hyperlink" xfId="928" builtinId="9" hidden="1"/>
    <cellStyle name="Followed Hyperlink" xfId="1184" builtinId="9" hidden="1"/>
    <cellStyle name="Followed Hyperlink" xfId="1441" builtinId="9" hidden="1"/>
    <cellStyle name="Followed Hyperlink" xfId="1697" builtinId="9" hidden="1"/>
    <cellStyle name="Followed Hyperlink" xfId="1955" builtinId="9" hidden="1"/>
    <cellStyle name="Followed Hyperlink" xfId="2211" builtinId="9" hidden="1"/>
    <cellStyle name="Followed Hyperlink" xfId="2361" builtinId="9" hidden="1"/>
    <cellStyle name="Followed Hyperlink" xfId="2105" builtinId="9" hidden="1"/>
    <cellStyle name="Followed Hyperlink" xfId="1849" builtinId="9" hidden="1"/>
    <cellStyle name="Followed Hyperlink" xfId="1591" builtinId="9" hidden="1"/>
    <cellStyle name="Followed Hyperlink" xfId="1335" builtinId="9" hidden="1"/>
    <cellStyle name="Followed Hyperlink" xfId="1078" builtinId="9" hidden="1"/>
    <cellStyle name="Followed Hyperlink" xfId="822" builtinId="9" hidden="1"/>
    <cellStyle name="Followed Hyperlink" xfId="566" builtinId="9" hidden="1"/>
    <cellStyle name="Followed Hyperlink" xfId="310" builtinId="9" hidden="1"/>
    <cellStyle name="Followed Hyperlink" xfId="174" builtinId="9" hidden="1"/>
    <cellStyle name="Followed Hyperlink" xfId="186" builtinId="9" hidden="1"/>
    <cellStyle name="Followed Hyperlink" xfId="334" builtinId="9" hidden="1"/>
    <cellStyle name="Followed Hyperlink" xfId="590" builtinId="9" hidden="1"/>
    <cellStyle name="Followed Hyperlink" xfId="846" builtinId="9" hidden="1"/>
    <cellStyle name="Followed Hyperlink" xfId="1102" builtinId="9" hidden="1"/>
    <cellStyle name="Followed Hyperlink" xfId="1359" builtinId="9" hidden="1"/>
    <cellStyle name="Followed Hyperlink" xfId="1615" builtinId="9" hidden="1"/>
    <cellStyle name="Followed Hyperlink" xfId="1873" builtinId="9" hidden="1"/>
    <cellStyle name="Followed Hyperlink" xfId="2129" builtinId="9" hidden="1"/>
    <cellStyle name="Followed Hyperlink" xfId="2385" builtinId="9" hidden="1"/>
    <cellStyle name="Followed Hyperlink" xfId="2187" builtinId="9" hidden="1"/>
    <cellStyle name="Followed Hyperlink" xfId="1931" builtinId="9" hidden="1"/>
    <cellStyle name="Followed Hyperlink" xfId="1673" builtinId="9" hidden="1"/>
    <cellStyle name="Followed Hyperlink" xfId="1417" builtinId="9" hidden="1"/>
    <cellStyle name="Followed Hyperlink" xfId="1160" builtinId="9" hidden="1"/>
    <cellStyle name="Followed Hyperlink" xfId="904" builtinId="9" hidden="1"/>
    <cellStyle name="Followed Hyperlink" xfId="648" builtinId="9" hidden="1"/>
    <cellStyle name="Followed Hyperlink" xfId="392" builtinId="9" hidden="1"/>
    <cellStyle name="Followed Hyperlink" xfId="136" builtinId="9" hidden="1"/>
    <cellStyle name="Followed Hyperlink" xfId="56" builtinId="9" hidden="1"/>
    <cellStyle name="Followed Hyperlink" xfId="252" builtinId="9" hidden="1"/>
    <cellStyle name="Followed Hyperlink" xfId="508" builtinId="9" hidden="1"/>
    <cellStyle name="Followed Hyperlink" xfId="764" builtinId="9" hidden="1"/>
    <cellStyle name="Followed Hyperlink" xfId="1020" builtinId="9" hidden="1"/>
    <cellStyle name="Followed Hyperlink" xfId="1277" builtinId="9" hidden="1"/>
    <cellStyle name="Followed Hyperlink" xfId="1533" builtinId="9" hidden="1"/>
    <cellStyle name="Followed Hyperlink" xfId="1791" builtinId="9" hidden="1"/>
    <cellStyle name="Followed Hyperlink" xfId="2047" builtinId="9" hidden="1"/>
    <cellStyle name="Followed Hyperlink" xfId="2303" builtinId="9" hidden="1"/>
    <cellStyle name="Followed Hyperlink" xfId="2269" builtinId="9" hidden="1"/>
    <cellStyle name="Followed Hyperlink" xfId="2013" builtinId="9" hidden="1"/>
    <cellStyle name="Followed Hyperlink" xfId="1757" builtinId="9" hidden="1"/>
    <cellStyle name="Followed Hyperlink" xfId="1499" builtinId="9" hidden="1"/>
    <cellStyle name="Followed Hyperlink" xfId="1243" builtinId="9" hidden="1"/>
    <cellStyle name="Followed Hyperlink" xfId="986" builtinId="9" hidden="1"/>
    <cellStyle name="Followed Hyperlink" xfId="730" builtinId="9" hidden="1"/>
    <cellStyle name="Followed Hyperlink" xfId="474" builtinId="9" hidden="1"/>
    <cellStyle name="Followed Hyperlink" xfId="434" builtinId="9" hidden="1"/>
    <cellStyle name="Followed Hyperlink" xfId="210" builtinId="9" hidden="1"/>
    <cellStyle name="Followed Hyperlink" xfId="410" builtinId="9" hidden="1"/>
    <cellStyle name="Followed Hyperlink" xfId="298" builtinId="9" hidden="1"/>
    <cellStyle name="Followed Hyperlink" xfId="682" builtinId="9" hidden="1"/>
    <cellStyle name="Followed Hyperlink" xfId="938" builtinId="9" hidden="1"/>
    <cellStyle name="Followed Hyperlink" xfId="1194" builtinId="9" hidden="1"/>
    <cellStyle name="Followed Hyperlink" xfId="1451" builtinId="9" hidden="1"/>
    <cellStyle name="Followed Hyperlink" xfId="1709" builtinId="9" hidden="1"/>
    <cellStyle name="Followed Hyperlink" xfId="1965" builtinId="9" hidden="1"/>
    <cellStyle name="Followed Hyperlink" xfId="2221" builtinId="9" hidden="1"/>
    <cellStyle name="Followed Hyperlink" xfId="2351" builtinId="9" hidden="1"/>
    <cellStyle name="Followed Hyperlink" xfId="2095" builtinId="9" hidden="1"/>
    <cellStyle name="Followed Hyperlink" xfId="1839" builtinId="9" hidden="1"/>
    <cellStyle name="Followed Hyperlink" xfId="1581" builtinId="9" hidden="1"/>
    <cellStyle name="Followed Hyperlink" xfId="1325" builtinId="9" hidden="1"/>
    <cellStyle name="Followed Hyperlink" xfId="1068" builtinId="9" hidden="1"/>
    <cellStyle name="Followed Hyperlink" xfId="812" builtinId="9" hidden="1"/>
    <cellStyle name="Followed Hyperlink" xfId="556" builtinId="9" hidden="1"/>
    <cellStyle name="Followed Hyperlink" xfId="300" builtinId="9" hidden="1"/>
    <cellStyle name="Followed Hyperlink" xfId="38" builtinId="9" hidden="1"/>
    <cellStyle name="Followed Hyperlink" xfId="88" builtinId="9" hidden="1"/>
    <cellStyle name="Followed Hyperlink" xfId="344" builtinId="9" hidden="1"/>
    <cellStyle name="Followed Hyperlink" xfId="600" builtinId="9" hidden="1"/>
    <cellStyle name="Followed Hyperlink" xfId="856" builtinId="9" hidden="1"/>
    <cellStyle name="Followed Hyperlink" xfId="1112" builtinId="9" hidden="1"/>
    <cellStyle name="Followed Hyperlink" xfId="1369" builtinId="9" hidden="1"/>
    <cellStyle name="Followed Hyperlink" xfId="1625" builtinId="9" hidden="1"/>
    <cellStyle name="Followed Hyperlink" xfId="1883" builtinId="9" hidden="1"/>
    <cellStyle name="Followed Hyperlink" xfId="2139" builtinId="9" hidden="1"/>
    <cellStyle name="Followed Hyperlink" xfId="2395" builtinId="9" hidden="1"/>
    <cellStyle name="Followed Hyperlink" xfId="2177" builtinId="9" hidden="1"/>
    <cellStyle name="Followed Hyperlink" xfId="1921" builtinId="9" hidden="1"/>
    <cellStyle name="Followed Hyperlink" xfId="1663" builtinId="9" hidden="1"/>
    <cellStyle name="Followed Hyperlink" xfId="1407" builtinId="9" hidden="1"/>
    <cellStyle name="Followed Hyperlink" xfId="1150" builtinId="9" hidden="1"/>
    <cellStyle name="Followed Hyperlink" xfId="894" builtinId="9" hidden="1"/>
    <cellStyle name="Followed Hyperlink" xfId="638" builtinId="9" hidden="1"/>
    <cellStyle name="Followed Hyperlink" xfId="382" builtinId="9" hidden="1"/>
    <cellStyle name="Followed Hyperlink" xfId="154" builtinId="9" hidden="1"/>
    <cellStyle name="Followed Hyperlink" xfId="90" builtinId="9" hidden="1"/>
    <cellStyle name="Followed Hyperlink" xfId="262" builtinId="9" hidden="1"/>
    <cellStyle name="Followed Hyperlink" xfId="518" builtinId="9" hidden="1"/>
    <cellStyle name="Followed Hyperlink" xfId="774" builtinId="9" hidden="1"/>
    <cellStyle name="Followed Hyperlink" xfId="1030" builtinId="9" hidden="1"/>
    <cellStyle name="Followed Hyperlink" xfId="1287" builtinId="9" hidden="1"/>
    <cellStyle name="Followed Hyperlink" xfId="1543" builtinId="9" hidden="1"/>
    <cellStyle name="Followed Hyperlink" xfId="1801" builtinId="9" hidden="1"/>
    <cellStyle name="Followed Hyperlink" xfId="2057" builtinId="9" hidden="1"/>
    <cellStyle name="Followed Hyperlink" xfId="2313" builtinId="9" hidden="1"/>
    <cellStyle name="Followed Hyperlink" xfId="2259" builtinId="9" hidden="1"/>
    <cellStyle name="Followed Hyperlink" xfId="2003" builtinId="9" hidden="1"/>
    <cellStyle name="Followed Hyperlink" xfId="1747" builtinId="9" hidden="1"/>
    <cellStyle name="Followed Hyperlink" xfId="1489" builtinId="9" hidden="1"/>
    <cellStyle name="Followed Hyperlink" xfId="1233" builtinId="9" hidden="1"/>
    <cellStyle name="Followed Hyperlink" xfId="976" builtinId="9" hidden="1"/>
    <cellStyle name="Followed Hyperlink" xfId="720" builtinId="9" hidden="1"/>
    <cellStyle name="Followed Hyperlink" xfId="464" builtinId="9" hidden="1"/>
    <cellStyle name="Followed Hyperlink" xfId="208" builtinId="9" hidden="1"/>
    <cellStyle name="Followed Hyperlink" xfId="8" builtinId="9" hidden="1"/>
    <cellStyle name="Followed Hyperlink" xfId="180" builtinId="9" hidden="1"/>
    <cellStyle name="Followed Hyperlink" xfId="436" builtinId="9" hidden="1"/>
    <cellStyle name="Followed Hyperlink" xfId="692" builtinId="9" hidden="1"/>
    <cellStyle name="Followed Hyperlink" xfId="948" builtinId="9" hidden="1"/>
    <cellStyle name="Followed Hyperlink" xfId="1204" builtinId="9" hidden="1"/>
    <cellStyle name="Followed Hyperlink" xfId="1461" builtinId="9" hidden="1"/>
    <cellStyle name="Followed Hyperlink" xfId="1719" builtinId="9" hidden="1"/>
    <cellStyle name="Followed Hyperlink" xfId="1975" builtinId="9" hidden="1"/>
    <cellStyle name="Followed Hyperlink" xfId="2231" builtinId="9" hidden="1"/>
    <cellStyle name="Followed Hyperlink" xfId="2341" builtinId="9" hidden="1"/>
    <cellStyle name="Followed Hyperlink" xfId="2085" builtinId="9" hidden="1"/>
    <cellStyle name="Followed Hyperlink" xfId="1411" builtinId="9" hidden="1"/>
    <cellStyle name="Followed Hyperlink" xfId="1603" builtinId="9" hidden="1"/>
    <cellStyle name="Followed Hyperlink" xfId="1765" builtinId="9" hidden="1"/>
    <cellStyle name="Followed Hyperlink" xfId="1925" builtinId="9" hidden="1"/>
    <cellStyle name="Followed Hyperlink" xfId="1699" builtinId="9" hidden="1"/>
    <cellStyle name="Followed Hyperlink" xfId="1122" builtinId="9" hidden="1"/>
    <cellStyle name="Followed Hyperlink" xfId="1283" builtinId="9" hidden="1"/>
    <cellStyle name="Followed Hyperlink" xfId="1026" builtinId="9" hidden="1"/>
    <cellStyle name="Followed Hyperlink" xfId="1090" builtinId="9" hidden="1"/>
    <cellStyle name="Followed Hyperlink" xfId="1251" builtinId="9" hidden="1"/>
    <cellStyle name="Followed Hyperlink" xfId="1315" builtinId="9" hidden="1"/>
    <cellStyle name="Followed Hyperlink" xfId="1829" builtinId="9" hidden="1"/>
    <cellStyle name="Followed Hyperlink" xfId="1893" builtinId="9" hidden="1"/>
    <cellStyle name="Followed Hyperlink" xfId="1733" builtinId="9" hidden="1"/>
    <cellStyle name="Followed Hyperlink" xfId="1539" builtinId="9" hidden="1"/>
    <cellStyle name="Followed Hyperlink" xfId="1379" builtinId="9" hidden="1"/>
    <cellStyle name="Followed Hyperlink" xfId="2149" builtinId="9" hidden="1"/>
    <cellStyle name="Followed Hyperlink" xfId="2405" builtinId="9" hidden="1"/>
    <cellStyle name="Followed Hyperlink" xfId="2167" builtinId="9" hidden="1"/>
    <cellStyle name="Followed Hyperlink" xfId="1911" builtinId="9" hidden="1"/>
    <cellStyle name="Followed Hyperlink" xfId="1653" builtinId="9" hidden="1"/>
    <cellStyle name="Followed Hyperlink" xfId="1397" builtinId="9" hidden="1"/>
    <cellStyle name="Followed Hyperlink" xfId="1140" builtinId="9" hidden="1"/>
    <cellStyle name="Followed Hyperlink" xfId="884" builtinId="9" hidden="1"/>
    <cellStyle name="Followed Hyperlink" xfId="628" builtinId="9" hidden="1"/>
    <cellStyle name="Followed Hyperlink" xfId="372" builtinId="9" hidden="1"/>
    <cellStyle name="Followed Hyperlink" xfId="116" builtinId="9" hidden="1"/>
    <cellStyle name="Followed Hyperlink" xfId="58" builtinId="9" hidden="1"/>
    <cellStyle name="Followed Hyperlink" xfId="272" builtinId="9" hidden="1"/>
    <cellStyle name="Followed Hyperlink" xfId="528" builtinId="9" hidden="1"/>
    <cellStyle name="Followed Hyperlink" xfId="784" builtinId="9" hidden="1"/>
    <cellStyle name="Followed Hyperlink" xfId="1040" builtinId="9" hidden="1"/>
    <cellStyle name="Followed Hyperlink" xfId="1297" builtinId="9" hidden="1"/>
    <cellStyle name="Followed Hyperlink" xfId="1553" builtinId="9" hidden="1"/>
    <cellStyle name="Followed Hyperlink" xfId="1811" builtinId="9" hidden="1"/>
    <cellStyle name="Followed Hyperlink" xfId="2067" builtinId="9" hidden="1"/>
    <cellStyle name="Followed Hyperlink" xfId="2323" builtinId="9" hidden="1"/>
    <cellStyle name="Followed Hyperlink" xfId="2249" builtinId="9" hidden="1"/>
    <cellStyle name="Followed Hyperlink" xfId="1993" builtinId="9" hidden="1"/>
    <cellStyle name="Followed Hyperlink" xfId="1737" builtinId="9" hidden="1"/>
    <cellStyle name="Followed Hyperlink" xfId="1479" builtinId="9" hidden="1"/>
    <cellStyle name="Followed Hyperlink" xfId="1222" builtinId="9" hidden="1"/>
    <cellStyle name="Followed Hyperlink" xfId="966" builtinId="9" hidden="1"/>
    <cellStyle name="Followed Hyperlink" xfId="710" builtinId="9" hidden="1"/>
    <cellStyle name="Followed Hyperlink" xfId="454" builtinId="9" hidden="1"/>
    <cellStyle name="Followed Hyperlink" xfId="198" builtinId="9" hidden="1"/>
    <cellStyle name="Followed Hyperlink" xfId="70" builtinId="9" hidden="1"/>
    <cellStyle name="Followed Hyperlink" xfId="114" builtinId="9" hidden="1"/>
    <cellStyle name="Followed Hyperlink" xfId="446" builtinId="9" hidden="1"/>
    <cellStyle name="Followed Hyperlink" xfId="702" builtinId="9" hidden="1"/>
    <cellStyle name="Followed Hyperlink" xfId="958" builtinId="9" hidden="1"/>
    <cellStyle name="Followed Hyperlink" xfId="1214" builtinId="9" hidden="1"/>
    <cellStyle name="Followed Hyperlink" xfId="1471" builtinId="9" hidden="1"/>
    <cellStyle name="Followed Hyperlink" xfId="1729" builtinId="9" hidden="1"/>
    <cellStyle name="Followed Hyperlink" xfId="1985" builtinId="9" hidden="1"/>
    <cellStyle name="Followed Hyperlink" xfId="2241" builtinId="9" hidden="1"/>
    <cellStyle name="Followed Hyperlink" xfId="2331" builtinId="9" hidden="1"/>
    <cellStyle name="Followed Hyperlink" xfId="2075" builtinId="9" hidden="1"/>
    <cellStyle name="Followed Hyperlink" xfId="1819" builtinId="9" hidden="1"/>
    <cellStyle name="Followed Hyperlink" xfId="1561" builtinId="9" hidden="1"/>
    <cellStyle name="Followed Hyperlink" xfId="1305" builtinId="9" hidden="1"/>
    <cellStyle name="Followed Hyperlink" xfId="1048" builtinId="9" hidden="1"/>
    <cellStyle name="Followed Hyperlink" xfId="792" builtinId="9" hidden="1"/>
    <cellStyle name="Followed Hyperlink" xfId="536" builtinId="9" hidden="1"/>
    <cellStyle name="Followed Hyperlink" xfId="280" builtinId="9" hidden="1"/>
    <cellStyle name="Followed Hyperlink" xfId="52" builtinId="9" hidden="1"/>
    <cellStyle name="Followed Hyperlink" xfId="108" builtinId="9" hidden="1"/>
    <cellStyle name="Followed Hyperlink" xfId="364" builtinId="9" hidden="1"/>
    <cellStyle name="Followed Hyperlink" xfId="620" builtinId="9" hidden="1"/>
    <cellStyle name="Followed Hyperlink" xfId="876" builtinId="9" hidden="1"/>
    <cellStyle name="Followed Hyperlink" xfId="1132" builtinId="9" hidden="1"/>
    <cellStyle name="Followed Hyperlink" xfId="1389" builtinId="9" hidden="1"/>
    <cellStyle name="Followed Hyperlink" xfId="1645" builtinId="9" hidden="1"/>
    <cellStyle name="Followed Hyperlink" xfId="1903" builtinId="9" hidden="1"/>
    <cellStyle name="Followed Hyperlink" xfId="2159" builtinId="9" hidden="1"/>
    <cellStyle name="Followed Hyperlink" xfId="2413" builtinId="9" hidden="1"/>
    <cellStyle name="Followed Hyperlink" xfId="2157" builtinId="9" hidden="1"/>
    <cellStyle name="Followed Hyperlink" xfId="1901" builtinId="9" hidden="1"/>
    <cellStyle name="Followed Hyperlink" xfId="1643" builtinId="9" hidden="1"/>
    <cellStyle name="Followed Hyperlink" xfId="1387" builtinId="9" hidden="1"/>
    <cellStyle name="Followed Hyperlink" xfId="1130" builtinId="9" hidden="1"/>
    <cellStyle name="Followed Hyperlink" xfId="874" builtinId="9" hidden="1"/>
    <cellStyle name="Followed Hyperlink" xfId="618" builtinId="9" hidden="1"/>
    <cellStyle name="Followed Hyperlink" xfId="338" builtinId="9" hidden="1"/>
    <cellStyle name="Followed Hyperlink" xfId="282" builtinId="9" hidden="1"/>
    <cellStyle name="Followed Hyperlink" xfId="274" builtinId="9" hidden="1"/>
    <cellStyle name="Followed Hyperlink" xfId="394" builtinId="9" hidden="1"/>
    <cellStyle name="Followed Hyperlink" xfId="538" builtinId="9" hidden="1"/>
    <cellStyle name="Followed Hyperlink" xfId="794" builtinId="9" hidden="1"/>
    <cellStyle name="Followed Hyperlink" xfId="1050" builtinId="9" hidden="1"/>
    <cellStyle name="Followed Hyperlink" xfId="1307" builtinId="9" hidden="1"/>
    <cellStyle name="Followed Hyperlink" xfId="1563" builtinId="9" hidden="1"/>
    <cellStyle name="Followed Hyperlink" xfId="1821" builtinId="9" hidden="1"/>
    <cellStyle name="Followed Hyperlink" xfId="2077" builtinId="9" hidden="1"/>
    <cellStyle name="Followed Hyperlink" xfId="2333" builtinId="9" hidden="1"/>
    <cellStyle name="Followed Hyperlink" xfId="2239" builtinId="9" hidden="1"/>
    <cellStyle name="Followed Hyperlink" xfId="1983" builtinId="9" hidden="1"/>
    <cellStyle name="Followed Hyperlink" xfId="1727" builtinId="9" hidden="1"/>
    <cellStyle name="Followed Hyperlink" xfId="1469" builtinId="9" hidden="1"/>
    <cellStyle name="Followed Hyperlink" xfId="1212" builtinId="9" hidden="1"/>
    <cellStyle name="Followed Hyperlink" xfId="956" builtinId="9" hidden="1"/>
    <cellStyle name="Followed Hyperlink" xfId="700" builtinId="9" hidden="1"/>
    <cellStyle name="Followed Hyperlink" xfId="444" builtinId="9" hidden="1"/>
    <cellStyle name="Followed Hyperlink" xfId="188" builtinId="9" hidden="1"/>
    <cellStyle name="Followed Hyperlink" xfId="6" builtinId="9" hidden="1"/>
    <cellStyle name="Followed Hyperlink" xfId="200" builtinId="9" hidden="1"/>
    <cellStyle name="Followed Hyperlink" xfId="456" builtinId="9" hidden="1"/>
    <cellStyle name="Followed Hyperlink" xfId="712" builtinId="9" hidden="1"/>
    <cellStyle name="Followed Hyperlink" xfId="968" builtinId="9" hidden="1"/>
    <cellStyle name="Followed Hyperlink" xfId="1225" builtinId="9" hidden="1"/>
    <cellStyle name="Followed Hyperlink" xfId="1481" builtinId="9" hidden="1"/>
    <cellStyle name="Followed Hyperlink" xfId="1739" builtinId="9" hidden="1"/>
    <cellStyle name="Followed Hyperlink" xfId="1995" builtinId="9" hidden="1"/>
    <cellStyle name="Followed Hyperlink" xfId="2251" builtinId="9" hidden="1"/>
    <cellStyle name="Followed Hyperlink" xfId="2321" builtinId="9" hidden="1"/>
    <cellStyle name="Followed Hyperlink" xfId="2065" builtinId="9" hidden="1"/>
    <cellStyle name="Followed Hyperlink" xfId="1809" builtinId="9" hidden="1"/>
    <cellStyle name="Followed Hyperlink" xfId="1551" builtinId="9" hidden="1"/>
    <cellStyle name="Followed Hyperlink" xfId="1295" builtinId="9" hidden="1"/>
    <cellStyle name="Followed Hyperlink" xfId="1038" builtinId="9" hidden="1"/>
    <cellStyle name="Followed Hyperlink" xfId="782" builtinId="9" hidden="1"/>
    <cellStyle name="Followed Hyperlink" xfId="526" builtinId="9" hidden="1"/>
    <cellStyle name="Followed Hyperlink" xfId="270" builtinId="9" hidden="1"/>
    <cellStyle name="Followed Hyperlink" xfId="86" builtinId="9" hidden="1"/>
    <cellStyle name="Followed Hyperlink" xfId="162" builtinId="9" hidden="1"/>
    <cellStyle name="Followed Hyperlink" xfId="374" builtinId="9" hidden="1"/>
    <cellStyle name="Followed Hyperlink" xfId="630" builtinId="9" hidden="1"/>
    <cellStyle name="Followed Hyperlink" xfId="886" builtinId="9" hidden="1"/>
    <cellStyle name="Followed Hyperlink" xfId="1142" builtinId="9" hidden="1"/>
    <cellStyle name="Followed Hyperlink" xfId="1399" builtinId="9" hidden="1"/>
    <cellStyle name="Followed Hyperlink" xfId="1655" builtinId="9" hidden="1"/>
    <cellStyle name="Followed Hyperlink" xfId="1913" builtinId="9" hidden="1"/>
    <cellStyle name="Followed Hyperlink" xfId="2169" builtinId="9" hidden="1"/>
    <cellStyle name="Followed Hyperlink" xfId="2403" builtinId="9" hidden="1"/>
    <cellStyle name="Followed Hyperlink" xfId="2147" builtinId="9" hidden="1"/>
    <cellStyle name="Followed Hyperlink" xfId="1891" builtinId="9" hidden="1"/>
    <cellStyle name="Followed Hyperlink" xfId="1633" builtinId="9" hidden="1"/>
    <cellStyle name="Followed Hyperlink" xfId="1377" builtinId="9" hidden="1"/>
    <cellStyle name="Followed Hyperlink" xfId="1120" builtinId="9" hidden="1"/>
    <cellStyle name="Followed Hyperlink" xfId="864" builtinId="9" hidden="1"/>
    <cellStyle name="Followed Hyperlink" xfId="608" builtinId="9" hidden="1"/>
    <cellStyle name="Followed Hyperlink" xfId="352" builtinId="9" hidden="1"/>
    <cellStyle name="Followed Hyperlink" xfId="96" builtinId="9" hidden="1"/>
    <cellStyle name="Followed Hyperlink" xfId="44" builtinId="9" hidden="1"/>
    <cellStyle name="Followed Hyperlink" xfId="292" builtinId="9" hidden="1"/>
    <cellStyle name="Followed Hyperlink" xfId="548" builtinId="9" hidden="1"/>
    <cellStyle name="Followed Hyperlink" xfId="804" builtinId="9" hidden="1"/>
    <cellStyle name="Followed Hyperlink" xfId="1060" builtinId="9" hidden="1"/>
    <cellStyle name="Followed Hyperlink" xfId="1317" builtinId="9" hidden="1"/>
    <cellStyle name="Followed Hyperlink" xfId="1573" builtinId="9" hidden="1"/>
    <cellStyle name="Followed Hyperlink" xfId="1831" builtinId="9" hidden="1"/>
    <cellStyle name="Followed Hyperlink" xfId="2087" builtinId="9" hidden="1"/>
    <cellStyle name="Followed Hyperlink" xfId="2343" builtinId="9" hidden="1"/>
    <cellStyle name="Followed Hyperlink" xfId="2229" builtinId="9" hidden="1"/>
    <cellStyle name="Followed Hyperlink" xfId="1973" builtinId="9" hidden="1"/>
    <cellStyle name="Followed Hyperlink" xfId="1717" builtinId="9" hidden="1"/>
    <cellStyle name="Followed Hyperlink" xfId="1459" builtinId="9" hidden="1"/>
    <cellStyle name="Followed Hyperlink" xfId="1202" builtinId="9" hidden="1"/>
    <cellStyle name="Followed Hyperlink" xfId="642" builtinId="9" hidden="1"/>
    <cellStyle name="Followed Hyperlink" xfId="802" builtinId="9" hidden="1"/>
    <cellStyle name="Followed Hyperlink" xfId="946" builtinId="9" hidden="1"/>
    <cellStyle name="Followed Hyperlink" xfId="578" builtinId="9" hidden="1"/>
    <cellStyle name="Followed Hyperlink" xfId="466" builtinId="9" hidden="1"/>
    <cellStyle name="Followed Hyperlink" xfId="546" builtinId="9" hidden="1"/>
    <cellStyle name="Followed Hyperlink" xfId="962" builtinId="9" hidden="1"/>
    <cellStyle name="Followed Hyperlink" xfId="786" builtinId="9" hidden="1"/>
    <cellStyle name="Followed Hyperlink" xfId="978" builtinId="9" hidden="1"/>
    <cellStyle name="Followed Hyperlink" xfId="1235" builtinId="9" hidden="1"/>
    <cellStyle name="Followed Hyperlink" xfId="1491" builtinId="9" hidden="1"/>
    <cellStyle name="Followed Hyperlink" xfId="1749" builtinId="9" hidden="1"/>
    <cellStyle name="Followed Hyperlink" xfId="2005" builtinId="9" hidden="1"/>
    <cellStyle name="Followed Hyperlink" xfId="2261" builtinId="9" hidden="1"/>
    <cellStyle name="Followed Hyperlink" xfId="2311" builtinId="9" hidden="1"/>
    <cellStyle name="Followed Hyperlink" xfId="2055" builtinId="9" hidden="1"/>
    <cellStyle name="Followed Hyperlink" xfId="1799" builtinId="9" hidden="1"/>
    <cellStyle name="Followed Hyperlink" xfId="1541" builtinId="9" hidden="1"/>
    <cellStyle name="Followed Hyperlink" xfId="1285" builtinId="9" hidden="1"/>
    <cellStyle name="Followed Hyperlink" xfId="1028" builtinId="9" hidden="1"/>
    <cellStyle name="Followed Hyperlink" xfId="772" builtinId="9" hidden="1"/>
    <cellStyle name="Followed Hyperlink" xfId="516" builtinId="9" hidden="1"/>
    <cellStyle name="Followed Hyperlink" xfId="260" builtinId="9" hidden="1"/>
    <cellStyle name="Followed Hyperlink" xfId="66" builtinId="9" hidden="1"/>
    <cellStyle name="Followed Hyperlink" xfId="128" builtinId="9" hidden="1"/>
    <cellStyle name="Followed Hyperlink" xfId="384" builtinId="9" hidden="1"/>
    <cellStyle name="Followed Hyperlink" xfId="640" builtinId="9" hidden="1"/>
    <cellStyle name="Followed Hyperlink" xfId="896" builtinId="9" hidden="1"/>
    <cellStyle name="Followed Hyperlink" xfId="1152" builtinId="9" hidden="1"/>
    <cellStyle name="Followed Hyperlink" xfId="1409" builtinId="9" hidden="1"/>
    <cellStyle name="Followed Hyperlink" xfId="1665" builtinId="9" hidden="1"/>
    <cellStyle name="Followed Hyperlink" xfId="1923" builtinId="9" hidden="1"/>
    <cellStyle name="Followed Hyperlink" xfId="2179" builtinId="9" hidden="1"/>
    <cellStyle name="Followed Hyperlink" xfId="2393" builtinId="9" hidden="1"/>
    <cellStyle name="Followed Hyperlink" xfId="2137" builtinId="9" hidden="1"/>
    <cellStyle name="Followed Hyperlink" xfId="1881" builtinId="9" hidden="1"/>
    <cellStyle name="Followed Hyperlink" xfId="1623" builtinId="9" hidden="1"/>
    <cellStyle name="Followed Hyperlink" xfId="1367" builtinId="9" hidden="1"/>
    <cellStyle name="Followed Hyperlink" xfId="1110" builtinId="9" hidden="1"/>
    <cellStyle name="Followed Hyperlink" xfId="854" builtinId="9" hidden="1"/>
    <cellStyle name="Followed Hyperlink" xfId="598" builtinId="9" hidden="1"/>
    <cellStyle name="Followed Hyperlink" xfId="342" builtinId="9" hidden="1"/>
    <cellStyle name="Followed Hyperlink" xfId="182" builtinId="9" hidden="1"/>
    <cellStyle name="Followed Hyperlink" xfId="158" builtinId="9" hidden="1"/>
    <cellStyle name="Followed Hyperlink" xfId="302" builtinId="9" hidden="1"/>
    <cellStyle name="Followed Hyperlink" xfId="558" builtinId="9" hidden="1"/>
    <cellStyle name="Followed Hyperlink" xfId="814" builtinId="9" hidden="1"/>
    <cellStyle name="Followed Hyperlink" xfId="1070" builtinId="9" hidden="1"/>
    <cellStyle name="Followed Hyperlink" xfId="1327" builtinId="9" hidden="1"/>
    <cellStyle name="Followed Hyperlink" xfId="1583" builtinId="9" hidden="1"/>
    <cellStyle name="Followed Hyperlink" xfId="1841" builtinId="9" hidden="1"/>
    <cellStyle name="Followed Hyperlink" xfId="2097" builtinId="9" hidden="1"/>
    <cellStyle name="Followed Hyperlink" xfId="2353" builtinId="9" hidden="1"/>
    <cellStyle name="Followed Hyperlink" xfId="2219" builtinId="9" hidden="1"/>
    <cellStyle name="Followed Hyperlink" xfId="1963" builtinId="9" hidden="1"/>
    <cellStyle name="Followed Hyperlink" xfId="1707" builtinId="9" hidden="1"/>
    <cellStyle name="Followed Hyperlink" xfId="1449" builtinId="9" hidden="1"/>
    <cellStyle name="Followed Hyperlink" xfId="1192" builtinId="9" hidden="1"/>
    <cellStyle name="Followed Hyperlink" xfId="936" builtinId="9" hidden="1"/>
    <cellStyle name="Followed Hyperlink" xfId="680" builtinId="9" hidden="1"/>
    <cellStyle name="Followed Hyperlink" xfId="424" builtinId="9" hidden="1"/>
    <cellStyle name="Followed Hyperlink" xfId="168" builtinId="9" hidden="1"/>
    <cellStyle name="Followed Hyperlink" xfId="20" builtinId="9" hidden="1"/>
    <cellStyle name="Followed Hyperlink" xfId="220" builtinId="9" hidden="1"/>
    <cellStyle name="Followed Hyperlink" xfId="476" builtinId="9" hidden="1"/>
    <cellStyle name="Followed Hyperlink" xfId="732" builtinId="9" hidden="1"/>
    <cellStyle name="Followed Hyperlink" xfId="988" builtinId="9" hidden="1"/>
    <cellStyle name="Followed Hyperlink" xfId="1245" builtinId="9" hidden="1"/>
    <cellStyle name="Followed Hyperlink" xfId="1501" builtinId="9" hidden="1"/>
    <cellStyle name="Followed Hyperlink" xfId="1759" builtinId="9" hidden="1"/>
    <cellStyle name="Followed Hyperlink" xfId="2015" builtinId="9" hidden="1"/>
    <cellStyle name="Followed Hyperlink" xfId="2271" builtinId="9" hidden="1"/>
    <cellStyle name="Followed Hyperlink" xfId="2301" builtinId="9" hidden="1"/>
    <cellStyle name="Followed Hyperlink" xfId="2045" builtinId="9" hidden="1"/>
    <cellStyle name="Followed Hyperlink" xfId="1789" builtinId="9" hidden="1"/>
    <cellStyle name="Followed Hyperlink" xfId="1531" builtinId="9" hidden="1"/>
    <cellStyle name="Followed Hyperlink" xfId="1275" builtinId="9" hidden="1"/>
    <cellStyle name="Followed Hyperlink" xfId="1018" builtinId="9" hidden="1"/>
    <cellStyle name="Followed Hyperlink" xfId="762" builtinId="9" hidden="1"/>
    <cellStyle name="Followed Hyperlink" xfId="506" builtinId="9" hidden="1"/>
    <cellStyle name="Followed Hyperlink" xfId="418" builtinId="9" hidden="1"/>
    <cellStyle name="Followed Hyperlink" xfId="218" builtinId="9" hidden="1"/>
    <cellStyle name="Followed Hyperlink" xfId="346" builtinId="9" hidden="1"/>
    <cellStyle name="Followed Hyperlink" xfId="322" builtinId="9" hidden="1"/>
    <cellStyle name="Followed Hyperlink" xfId="650" builtinId="9" hidden="1"/>
    <cellStyle name="Followed Hyperlink" xfId="906" builtinId="9" hidden="1"/>
    <cellStyle name="Followed Hyperlink" xfId="1162" builtinId="9" hidden="1"/>
    <cellStyle name="Followed Hyperlink" xfId="1419" builtinId="9" hidden="1"/>
    <cellStyle name="Followed Hyperlink" xfId="1675" builtinId="9" hidden="1"/>
    <cellStyle name="Followed Hyperlink" xfId="1933" builtinId="9" hidden="1"/>
    <cellStyle name="Followed Hyperlink" xfId="2189" builtinId="9" hidden="1"/>
    <cellStyle name="Followed Hyperlink" xfId="2383" builtinId="9" hidden="1"/>
    <cellStyle name="Followed Hyperlink" xfId="2127" builtinId="9" hidden="1"/>
    <cellStyle name="Followed Hyperlink" xfId="1871" builtinId="9" hidden="1"/>
    <cellStyle name="Followed Hyperlink" xfId="1613" builtinId="9" hidden="1"/>
    <cellStyle name="Followed Hyperlink" xfId="1357" builtinId="9" hidden="1"/>
    <cellStyle name="Followed Hyperlink" xfId="1100" builtinId="9" hidden="1"/>
    <cellStyle name="Followed Hyperlink" xfId="844" builtinId="9" hidden="1"/>
    <cellStyle name="Followed Hyperlink" xfId="588" builtinId="9" hidden="1"/>
    <cellStyle name="Followed Hyperlink" xfId="332" builtinId="9" hidden="1"/>
    <cellStyle name="Followed Hyperlink" xfId="76" builtinId="9" hidden="1"/>
    <cellStyle name="Followed Hyperlink" xfId="30" builtinId="9" hidden="1"/>
    <cellStyle name="Followed Hyperlink" xfId="312" builtinId="9" hidden="1"/>
    <cellStyle name="Followed Hyperlink" xfId="568" builtinId="9" hidden="1"/>
    <cellStyle name="Followed Hyperlink" xfId="824" builtinId="9" hidden="1"/>
    <cellStyle name="Followed Hyperlink" xfId="1080" builtinId="9" hidden="1"/>
    <cellStyle name="Followed Hyperlink" xfId="1337" builtinId="9" hidden="1"/>
    <cellStyle name="Followed Hyperlink" xfId="1593" builtinId="9" hidden="1"/>
    <cellStyle name="Followed Hyperlink" xfId="1851" builtinId="9" hidden="1"/>
    <cellStyle name="Followed Hyperlink" xfId="2107" builtinId="9" hidden="1"/>
    <cellStyle name="Followed Hyperlink" xfId="2363" builtinId="9" hidden="1"/>
    <cellStyle name="Followed Hyperlink" xfId="2209" builtinId="9" hidden="1"/>
    <cellStyle name="Followed Hyperlink" xfId="1953" builtinId="9" hidden="1"/>
    <cellStyle name="Followed Hyperlink" xfId="1695" builtinId="9" hidden="1"/>
    <cellStyle name="Followed Hyperlink" xfId="1439" builtinId="9" hidden="1"/>
    <cellStyle name="Followed Hyperlink" xfId="1182" builtinId="9" hidden="1"/>
    <cellStyle name="Followed Hyperlink" xfId="926" builtinId="9" hidden="1"/>
    <cellStyle name="Followed Hyperlink" xfId="670" builtinId="9" hidden="1"/>
    <cellStyle name="Followed Hyperlink" xfId="414" builtinId="9" hidden="1"/>
    <cellStyle name="Followed Hyperlink" xfId="134" builtinId="9" hidden="1"/>
    <cellStyle name="Followed Hyperlink" xfId="94" builtinId="9" hidden="1"/>
    <cellStyle name="Followed Hyperlink" xfId="230" builtinId="9" hidden="1"/>
    <cellStyle name="Followed Hyperlink" xfId="486" builtinId="9" hidden="1"/>
    <cellStyle name="Followed Hyperlink" xfId="742" builtinId="9" hidden="1"/>
    <cellStyle name="Followed Hyperlink" xfId="998" builtinId="9" hidden="1"/>
    <cellStyle name="Followed Hyperlink" xfId="1255" builtinId="9" hidden="1"/>
    <cellStyle name="Followed Hyperlink" xfId="1511" builtinId="9" hidden="1"/>
    <cellStyle name="Followed Hyperlink" xfId="624" builtinId="9" hidden="1"/>
    <cellStyle name="Followed Hyperlink" xfId="752" builtinId="9" hidden="1"/>
    <cellStyle name="Followed Hyperlink" xfId="880" builtinId="9" hidden="1"/>
    <cellStyle name="Followed Hyperlink" xfId="1136" builtinId="9" hidden="1"/>
    <cellStyle name="Followed Hyperlink" xfId="1265" builtinId="9" hidden="1"/>
    <cellStyle name="Followed Hyperlink" xfId="1393" builtinId="9" hidden="1"/>
    <cellStyle name="Followed Hyperlink" xfId="1649" builtinId="9" hidden="1"/>
    <cellStyle name="Followed Hyperlink" xfId="1779" builtinId="9" hidden="1"/>
    <cellStyle name="Followed Hyperlink" xfId="1907" builtinId="9" hidden="1"/>
    <cellStyle name="Followed Hyperlink" xfId="2163" builtinId="9" hidden="1"/>
    <cellStyle name="Followed Hyperlink" xfId="2291" builtinId="9" hidden="1"/>
    <cellStyle name="Followed Hyperlink" xfId="2409" builtinId="9" hidden="1"/>
    <cellStyle name="Followed Hyperlink" xfId="2153" builtinId="9" hidden="1"/>
    <cellStyle name="Followed Hyperlink" xfId="2025" builtinId="9" hidden="1"/>
    <cellStyle name="Followed Hyperlink" xfId="1897" builtinId="9" hidden="1"/>
    <cellStyle name="Followed Hyperlink" xfId="1639" builtinId="9" hidden="1"/>
    <cellStyle name="Followed Hyperlink" xfId="1769" builtinId="9" hidden="1"/>
    <cellStyle name="Followed Hyperlink" xfId="2281" builtinId="9" hidden="1"/>
    <cellStyle name="Followed Hyperlink" xfId="2035" builtinId="9" hidden="1"/>
    <cellStyle name="Followed Hyperlink" xfId="1521" builtinId="9" hidden="1"/>
    <cellStyle name="Followed Hyperlink" xfId="1008" builtinId="9" hidden="1"/>
    <cellStyle name="Followed Hyperlink" xfId="496" builtinId="9" hidden="1"/>
    <cellStyle name="Followed Hyperlink" xfId="148" builtinId="9" hidden="1"/>
    <cellStyle name="Followed Hyperlink" xfId="54" builtinId="9" hidden="1"/>
    <cellStyle name="Followed Hyperlink" xfId="112" builtinId="9" hidden="1"/>
    <cellStyle name="Followed Hyperlink" xfId="240" builtinId="9" hidden="1"/>
    <cellStyle name="Followed Hyperlink" xfId="368" builtinId="9" hidden="1"/>
    <cellStyle name="Followed Hyperlink" xfId="32" builtinId="9" hidden="1"/>
    <cellStyle name="Followed Hyperlink" xfId="404" builtinId="9" hidden="1"/>
    <cellStyle name="Followed Hyperlink" xfId="276" builtinId="9" hidden="1"/>
    <cellStyle name="Followed Hyperlink" xfId="532" builtinId="9" hidden="1"/>
    <cellStyle name="Followed Hyperlink" xfId="660" builtinId="9" hidden="1"/>
    <cellStyle name="Hyperlink" xfId="475" builtinId="8" hidden="1"/>
    <cellStyle name="Hyperlink" xfId="479" builtinId="8" hidden="1"/>
    <cellStyle name="Hyperlink" xfId="491" builtinId="8" hidden="1"/>
    <cellStyle name="Hyperlink" xfId="503" builtinId="8" hidden="1"/>
    <cellStyle name="Hyperlink" xfId="505" builtinId="8" hidden="1"/>
    <cellStyle name="Hyperlink" xfId="519" builtinId="8" hidden="1"/>
    <cellStyle name="Hyperlink" xfId="531" builtinId="8" hidden="1"/>
    <cellStyle name="Hyperlink" xfId="543" builtinId="8" hidden="1"/>
    <cellStyle name="Hyperlink" xfId="547" builtinId="8" hidden="1"/>
    <cellStyle name="Hyperlink" xfId="565" builtinId="8" hidden="1"/>
    <cellStyle name="Hyperlink" xfId="569" builtinId="8" hidden="1"/>
    <cellStyle name="Hyperlink" xfId="575" builtinId="8" hidden="1"/>
    <cellStyle name="Hyperlink" xfId="587" builtinId="8" hidden="1"/>
    <cellStyle name="Hyperlink" xfId="593" builtinId="8" hidden="1"/>
    <cellStyle name="Hyperlink" xfId="603" builtinId="8" hidden="1"/>
    <cellStyle name="Hyperlink" xfId="615" builtinId="8" hidden="1"/>
    <cellStyle name="Hyperlink" xfId="625" builtinId="8" hidden="1"/>
    <cellStyle name="Hyperlink" xfId="629" builtinId="8" hidden="1"/>
    <cellStyle name="Hyperlink" xfId="597" builtinId="8" hidden="1"/>
    <cellStyle name="Hyperlink" xfId="561" builtinId="8" hidden="1"/>
    <cellStyle name="Hyperlink" xfId="521" builtinId="8" hidden="1"/>
    <cellStyle name="Hyperlink" xfId="409" builtinId="8" hidden="1"/>
    <cellStyle name="Hyperlink" xfId="375" builtinId="8" hidden="1"/>
    <cellStyle name="Hyperlink" xfId="1021" builtinId="8" hidden="1"/>
    <cellStyle name="Hyperlink" xfId="1278" builtinId="8" hidden="1"/>
    <cellStyle name="Hyperlink" xfId="1534" builtinId="8" hidden="1"/>
    <cellStyle name="Hyperlink" xfId="1678" builtinId="8" hidden="1"/>
    <cellStyle name="Hyperlink" xfId="669" builtinId="8" hidden="1"/>
    <cellStyle name="Hyperlink" xfId="251" builtinId="8" hidden="1"/>
    <cellStyle name="Hyperlink" xfId="237" builtinId="8" hidden="1"/>
    <cellStyle name="Hyperlink" xfId="709" builtinId="8" hidden="1"/>
    <cellStyle name="Hyperlink" xfId="997" builtinId="8" hidden="1"/>
    <cellStyle name="Hyperlink" xfId="1988" builtinId="8" hidden="1"/>
    <cellStyle name="Hyperlink" xfId="1554" builtinId="8" hidden="1"/>
    <cellStyle name="Hyperlink" xfId="1812" builtinId="8" hidden="1"/>
    <cellStyle name="Hyperlink" xfId="1290" builtinId="8" hidden="1"/>
    <cellStyle name="Hyperlink" xfId="1143" builtinId="8" hidden="1"/>
    <cellStyle name="Hyperlink" xfId="1099" builtinId="8" hidden="1"/>
    <cellStyle name="Hyperlink" xfId="937" builtinId="8" hidden="1"/>
    <cellStyle name="Hyperlink" xfId="951" builtinId="8" hidden="1"/>
    <cellStyle name="Hyperlink" xfId="959" builtinId="8" hidden="1"/>
    <cellStyle name="Hyperlink" xfId="963" builtinId="8" hidden="1"/>
    <cellStyle name="Hyperlink" xfId="975" builtinId="8" hidden="1"/>
    <cellStyle name="Hyperlink" xfId="985" builtinId="8" hidden="1"/>
    <cellStyle name="Hyperlink" xfId="991" builtinId="8" hidden="1"/>
    <cellStyle name="Hyperlink" xfId="1007" builtinId="8" hidden="1"/>
    <cellStyle name="Hyperlink" xfId="1017" builtinId="8" hidden="1"/>
    <cellStyle name="Hyperlink" xfId="1019" builtinId="8" hidden="1"/>
    <cellStyle name="Hyperlink" xfId="1035" builtinId="8" hidden="1"/>
    <cellStyle name="Hyperlink" xfId="1039" builtinId="8" hidden="1"/>
    <cellStyle name="Hyperlink" xfId="1015" builtinId="8" hidden="1"/>
    <cellStyle name="Hyperlink" xfId="889" builtinId="8" hidden="1"/>
    <cellStyle name="Hyperlink" xfId="897" builtinId="8" hidden="1"/>
    <cellStyle name="Hyperlink" xfId="907" builtinId="8" hidden="1"/>
    <cellStyle name="Hyperlink" xfId="921" builtinId="8" hidden="1"/>
    <cellStyle name="Hyperlink" xfId="923" builtinId="8" hidden="1"/>
    <cellStyle name="Hyperlink" xfId="935" builtinId="8" hidden="1"/>
    <cellStyle name="Hyperlink" xfId="863" builtinId="8" hidden="1"/>
    <cellStyle name="Hyperlink" xfId="867" builtinId="8" hidden="1"/>
    <cellStyle name="Hyperlink" xfId="879" builtinId="8" hidden="1"/>
    <cellStyle name="Hyperlink" xfId="843" builtinId="8" hidden="1"/>
    <cellStyle name="Hyperlink" xfId="833" builtinId="8" hidden="1"/>
    <cellStyle name="Hyperlink" xfId="839" builtinId="8" hidden="1"/>
    <cellStyle name="Hyperlink" xfId="855" builtinId="8" hidden="1"/>
    <cellStyle name="Hyperlink" xfId="927" builtinId="8" hidden="1"/>
    <cellStyle name="Hyperlink" xfId="915" builtinId="8" hidden="1"/>
    <cellStyle name="Hyperlink" xfId="1043" builtinId="8" hidden="1"/>
    <cellStyle name="Hyperlink" xfId="1023" builtinId="8" hidden="1"/>
    <cellStyle name="Hyperlink" xfId="999" builtinId="8" hidden="1"/>
    <cellStyle name="Hyperlink" xfId="967" builtinId="8" hidden="1"/>
    <cellStyle name="Hyperlink" xfId="1228" builtinId="8" hidden="1"/>
    <cellStyle name="Hyperlink" xfId="1296" builtinId="8" hidden="1"/>
    <cellStyle name="Hyperlink" xfId="1250" builtinId="8" hidden="1"/>
    <cellStyle name="Hyperlink" xfId="1226" builtinId="8" hidden="1"/>
    <cellStyle name="Hyperlink" xfId="1215" builtinId="8" hidden="1"/>
    <cellStyle name="Hyperlink" xfId="1169" builtinId="8" hidden="1"/>
    <cellStyle name="Hyperlink" xfId="1159" builtinId="8" hidden="1"/>
    <cellStyle name="Hyperlink" xfId="1123" builtinId="8" hidden="1"/>
    <cellStyle name="Hyperlink" xfId="1079" builtinId="8" hidden="1"/>
    <cellStyle name="Hyperlink" xfId="1336" builtinId="8" hidden="1"/>
    <cellStyle name="Hyperlink" xfId="1420" builtinId="8" hidden="1"/>
    <cellStyle name="Hyperlink" xfId="1764" builtinId="8" hidden="1"/>
    <cellStyle name="Hyperlink" xfId="1850" builtinId="8" hidden="1"/>
    <cellStyle name="Hyperlink" xfId="1922" builtinId="8" hidden="1"/>
    <cellStyle name="Hyperlink" xfId="1874" builtinId="8" hidden="1"/>
    <cellStyle name="Hyperlink" xfId="1089" builtinId="8" hidden="1"/>
    <cellStyle name="Hyperlink" xfId="835" builtinId="8" hidden="1"/>
    <cellStyle name="Hyperlink" xfId="993" builtinId="8" hidden="1"/>
    <cellStyle name="Hyperlink" xfId="1075" builtinId="8" hidden="1"/>
    <cellStyle name="Hyperlink" xfId="1083" builtinId="8" hidden="1"/>
    <cellStyle name="Hyperlink" xfId="1097" builtinId="8" hidden="1"/>
    <cellStyle name="Hyperlink" xfId="1105" builtinId="8" hidden="1"/>
    <cellStyle name="Hyperlink" xfId="1107" builtinId="8" hidden="1"/>
    <cellStyle name="Hyperlink" xfId="1121" builtinId="8" hidden="1"/>
    <cellStyle name="Hyperlink" xfId="1129" builtinId="8" hidden="1"/>
    <cellStyle name="Hyperlink" xfId="1137" builtinId="8" hidden="1"/>
    <cellStyle name="Hyperlink" xfId="1151" builtinId="8" hidden="1"/>
    <cellStyle name="Hyperlink" xfId="1161" builtinId="8" hidden="1"/>
    <cellStyle name="Hyperlink" xfId="1163" builtinId="8" hidden="1"/>
    <cellStyle name="Hyperlink" xfId="1177" builtinId="8" hidden="1"/>
    <cellStyle name="Hyperlink" xfId="1183" builtinId="8" hidden="1"/>
    <cellStyle name="Hyperlink" xfId="1191" builtinId="8" hidden="1"/>
    <cellStyle name="Hyperlink" xfId="1207" builtinId="8" hidden="1"/>
    <cellStyle name="Hyperlink" xfId="1209" builtinId="8" hidden="1"/>
    <cellStyle name="Hyperlink" xfId="1224" builtinId="8" hidden="1"/>
    <cellStyle name="Hyperlink" xfId="1236" builtinId="8" hidden="1"/>
    <cellStyle name="Hyperlink" xfId="1244" builtinId="8" hidden="1"/>
    <cellStyle name="Hyperlink" xfId="1252" builtinId="8" hidden="1"/>
    <cellStyle name="Hyperlink" xfId="1266" builtinId="8" hidden="1"/>
    <cellStyle name="Hyperlink" xfId="1268" builtinId="8" hidden="1"/>
    <cellStyle name="Hyperlink" xfId="1276" builtinId="8" hidden="1"/>
    <cellStyle name="Hyperlink" xfId="1219" builtinId="8" hidden="1"/>
    <cellStyle name="Hyperlink" xfId="1892" builtinId="8" hidden="1"/>
    <cellStyle name="Hyperlink" xfId="1806" builtinId="8" hidden="1"/>
    <cellStyle name="Hyperlink" xfId="1722" builtinId="8" hidden="1"/>
    <cellStyle name="Hyperlink" xfId="1656" builtinId="8" hidden="1"/>
    <cellStyle name="Hyperlink" xfId="1612" builtinId="8" hidden="1"/>
    <cellStyle name="Hyperlink" xfId="1484" builtinId="8" hidden="1"/>
    <cellStyle name="Hyperlink" xfId="1464" builtinId="8" hidden="1"/>
    <cellStyle name="Hyperlink" xfId="1442" builtinId="8" hidden="1"/>
    <cellStyle name="Hyperlink" xfId="1314" builtinId="8" hidden="1"/>
    <cellStyle name="Hyperlink" xfId="1051" builtinId="8" hidden="1"/>
    <cellStyle name="Hyperlink" xfId="1071" builtinId="8" hidden="1"/>
    <cellStyle name="Hyperlink" xfId="1059" builtinId="8" hidden="1"/>
    <cellStyle name="Hyperlink" xfId="1890" builtinId="8" hidden="1"/>
    <cellStyle name="Hyperlink" xfId="1900" builtinId="8" hidden="1"/>
    <cellStyle name="Hyperlink" xfId="1916" builtinId="8" hidden="1"/>
    <cellStyle name="Hyperlink" xfId="1918" builtinId="8" hidden="1"/>
    <cellStyle name="Hyperlink" xfId="1924" builtinId="8" hidden="1"/>
    <cellStyle name="Hyperlink" xfId="1858" builtinId="8" hidden="1"/>
    <cellStyle name="Hyperlink" xfId="1866" builtinId="8" hidden="1"/>
    <cellStyle name="Hyperlink" xfId="1876" builtinId="8" hidden="1"/>
    <cellStyle name="Hyperlink" xfId="1852" builtinId="8" hidden="1"/>
    <cellStyle name="Hyperlink" xfId="1842" builtinId="8" hidden="1"/>
    <cellStyle name="Hyperlink" xfId="1838" builtinId="8" hidden="1"/>
    <cellStyle name="Hyperlink" xfId="1868" builtinId="8" hidden="1"/>
    <cellStyle name="Hyperlink" xfId="1930" builtinId="8" hidden="1"/>
    <cellStyle name="Hyperlink" xfId="1906" builtinId="8" hidden="1"/>
    <cellStyle name="Hyperlink" xfId="1063" builtinId="8" hidden="1"/>
    <cellStyle name="Hyperlink" xfId="1378" builtinId="8" hidden="1"/>
    <cellStyle name="Hyperlink" xfId="1548" builtinId="8" hidden="1"/>
    <cellStyle name="Hyperlink" xfId="1828" builtinId="8" hidden="1"/>
    <cellStyle name="Hyperlink" xfId="1282" builtinId="8" hidden="1"/>
    <cellStyle name="Hyperlink" xfId="1258" builtinId="8" hidden="1"/>
    <cellStyle name="Hyperlink" xfId="1211" builtinId="8" hidden="1"/>
    <cellStyle name="Hyperlink" xfId="1195" builtinId="8" hidden="1"/>
    <cellStyle name="Hyperlink" xfId="1175" builtinId="8" hidden="1"/>
    <cellStyle name="Hyperlink" xfId="1131" builtinId="8" hidden="1"/>
    <cellStyle name="Hyperlink" xfId="1115" builtinId="8" hidden="1"/>
    <cellStyle name="Hyperlink" xfId="1091" builtinId="8" hidden="1"/>
    <cellStyle name="Hyperlink" xfId="955" builtinId="8" hidden="1"/>
    <cellStyle name="Hyperlink" xfId="1908" builtinId="8" hidden="1"/>
    <cellStyle name="Hyperlink" xfId="1676" builtinId="8" hidden="1"/>
    <cellStyle name="Hyperlink" xfId="1135" builtinId="8" hidden="1"/>
    <cellStyle name="Hyperlink" xfId="1203" builtinId="8" hidden="1"/>
    <cellStyle name="Hyperlink" xfId="1260" builtinId="8" hidden="1"/>
    <cellStyle name="Hyperlink" xfId="1009" builtinId="8" hidden="1"/>
    <cellStyle name="Hyperlink" xfId="895" builtinId="8" hidden="1"/>
    <cellStyle name="Hyperlink" xfId="875" builtinId="8" hidden="1"/>
    <cellStyle name="Hyperlink" xfId="871" builtinId="8" hidden="1"/>
    <cellStyle name="Hyperlink" xfId="929" builtinId="8" hidden="1"/>
    <cellStyle name="Hyperlink" xfId="919" builtinId="8" hidden="1"/>
    <cellStyle name="Hyperlink" xfId="1047" builtinId="8" hidden="1"/>
    <cellStyle name="Hyperlink" xfId="1025" builtinId="8" hidden="1"/>
    <cellStyle name="Hyperlink" xfId="1003" builtinId="8" hidden="1"/>
    <cellStyle name="Hyperlink" xfId="961" builtinId="8" hidden="1"/>
    <cellStyle name="Hyperlink" xfId="943" builtinId="8" hidden="1"/>
    <cellStyle name="Hyperlink" xfId="1272" builtinId="8" hidden="1"/>
    <cellStyle name="Hyperlink" xfId="2408" builtinId="8" hidden="1"/>
    <cellStyle name="Hyperlink" xfId="69" builtinId="8" hidden="1"/>
    <cellStyle name="Hyperlink" xfId="1936" builtinId="8" hidden="1"/>
    <cellStyle name="Hyperlink" xfId="893" builtinId="8" hidden="1"/>
    <cellStyle name="Hyperlink" xfId="487" builtinId="8" hidden="1"/>
    <cellStyle name="Hyperlink" xfId="633" builtinId="8" hidden="1"/>
    <cellStyle name="Hyperlink" xfId="601" builtinId="8" hidden="1"/>
    <cellStyle name="Hyperlink" xfId="577" builtinId="8" hidden="1"/>
    <cellStyle name="Hyperlink" xfId="555" builtinId="8" hidden="1"/>
    <cellStyle name="Hyperlink" xfId="515" builtinId="8" hidden="1"/>
    <cellStyle name="Hyperlink" xfId="495" builtinId="8" hidden="1"/>
    <cellStyle name="Hyperlink" xfId="473" builtinId="8" hidden="1"/>
    <cellStyle name="Hyperlink" xfId="431" builtinId="8" hidden="1"/>
    <cellStyle name="Hyperlink" xfId="405" builtinId="8" hidden="1"/>
    <cellStyle name="Hyperlink" xfId="391" builtinId="8" hidden="1"/>
    <cellStyle name="Hyperlink" xfId="853" builtinId="8" hidden="1"/>
    <cellStyle name="Hyperlink" xfId="941" builtinId="8" hidden="1"/>
    <cellStyle name="Hyperlink" xfId="1005" builtinId="8" hidden="1"/>
    <cellStyle name="Hyperlink" xfId="1173" builtinId="8" hidden="1"/>
    <cellStyle name="Hyperlink" xfId="1238" builtinId="8" hidden="1"/>
    <cellStyle name="Hyperlink" xfId="1326" builtinId="8" hidden="1"/>
    <cellStyle name="Hyperlink" xfId="1462" builtinId="8" hidden="1"/>
    <cellStyle name="Hyperlink" xfId="1526" builtinId="8" hidden="1"/>
    <cellStyle name="Hyperlink" xfId="1614" builtinId="8" hidden="1"/>
    <cellStyle name="Hyperlink" xfId="1760" builtinId="8" hidden="1"/>
    <cellStyle name="Hyperlink" xfId="1840" builtinId="8" hidden="1"/>
    <cellStyle name="Hyperlink" xfId="1904" builtinId="8" hidden="1"/>
    <cellStyle name="Hyperlink" xfId="749" builtinId="8" hidden="1"/>
    <cellStyle name="Hyperlink" xfId="183" builtinId="8" hidden="1"/>
    <cellStyle name="Hyperlink" xfId="261" builtinId="8" hidden="1"/>
    <cellStyle name="Hyperlink" xfId="109" builtinId="8" hidden="1"/>
    <cellStyle name="Hyperlink" xfId="165" builtinId="8" hidden="1"/>
    <cellStyle name="Hyperlink" xfId="19" builtinId="8" hidden="1"/>
    <cellStyle name="Hyperlink" xfId="381" builtinId="8" hidden="1"/>
    <cellStyle name="Hyperlink" xfId="635" builtinId="8" hidden="1"/>
    <cellStyle name="Hyperlink" xfId="453" builtinId="8" hidden="1"/>
    <cellStyle name="Hyperlink" xfId="2024" builtinId="8" hidden="1"/>
    <cellStyle name="Hyperlink" xfId="2244" builtinId="8" hidden="1"/>
    <cellStyle name="Hyperlink" xfId="2030" builtinId="8" hidden="1"/>
    <cellStyle name="Hyperlink" xfId="1432" builtinId="8" hidden="1"/>
    <cellStyle name="Hyperlink" xfId="1504" builtinId="8" hidden="1"/>
    <cellStyle name="Hyperlink" xfId="1578" builtinId="8" hidden="1"/>
    <cellStyle name="Hyperlink" xfId="1726" builtinId="8" hidden="1"/>
    <cellStyle name="Hyperlink" xfId="1798" builtinId="8" hidden="1"/>
    <cellStyle name="Hyperlink" xfId="651" builtinId="8" hidden="1"/>
    <cellStyle name="Hyperlink" xfId="411" builtinId="8" hidden="1"/>
    <cellStyle name="Hyperlink" xfId="2252" builtinId="8" hidden="1"/>
    <cellStyle name="Hyperlink" xfId="2332" builtinId="8" hidden="1"/>
    <cellStyle name="Hyperlink" xfId="2168" builtinId="8" hidden="1"/>
    <cellStyle name="Hyperlink" xfId="2410" builtinId="8" hidden="1"/>
    <cellStyle name="Hyperlink" xfId="2140" builtinId="8" hidden="1"/>
    <cellStyle name="Hyperlink" xfId="2070" builtinId="8" hidden="1"/>
    <cellStyle name="Hyperlink" xfId="1938" builtinId="8" hidden="1"/>
    <cellStyle name="Hyperlink" xfId="2142" builtinId="8" hidden="1"/>
    <cellStyle name="Hyperlink" xfId="387" builtinId="8" hidden="1"/>
    <cellStyle name="Hyperlink" xfId="579" builtinId="8" hidden="1"/>
    <cellStyle name="Hyperlink" xfId="357" builtinId="8" hidden="1"/>
    <cellStyle name="Hyperlink" xfId="131" builtinId="8" hidden="1"/>
    <cellStyle name="Hyperlink" xfId="1346" builtinId="8" hidden="1"/>
    <cellStyle name="Hyperlink" xfId="1147" builtinId="8" hidden="1"/>
    <cellStyle name="Hyperlink" xfId="1201" builtinId="8" hidden="1"/>
    <cellStyle name="Hyperlink" xfId="1926" builtinId="8" hidden="1"/>
    <cellStyle name="Hyperlink" xfId="627" builtinId="8" hidden="1"/>
    <cellStyle name="Hyperlink" xfId="1414" builtinId="8" hidden="1"/>
    <cellStyle name="Hyperlink" xfId="2184" builtinId="8" hidden="1"/>
    <cellStyle name="Hyperlink" xfId="2222" builtinId="8" hidden="1"/>
    <cellStyle name="Hyperlink" xfId="1364" builtinId="8" hidden="1"/>
    <cellStyle name="Hyperlink" xfId="1440" builtinId="8" hidden="1"/>
    <cellStyle name="Hyperlink" xfId="1514" builtinId="8" hidden="1"/>
    <cellStyle name="Hyperlink" xfId="1660" builtinId="8" hidden="1"/>
    <cellStyle name="Hyperlink" xfId="1740" builtinId="8" hidden="1"/>
    <cellStyle name="Hyperlink" xfId="1814" builtinId="8" hidden="1"/>
    <cellStyle name="Hyperlink" xfId="545" builtinId="8" hidden="1"/>
    <cellStyle name="Hyperlink" xfId="111" builtinId="8" hidden="1"/>
    <cellStyle name="Hyperlink" xfId="45" builtinId="8" hidden="1"/>
    <cellStyle name="Hyperlink" xfId="105" builtinId="8" hidden="1"/>
    <cellStyle name="Hyperlink" xfId="189" builtinId="8" hidden="1"/>
    <cellStyle name="Hyperlink" xfId="125" builtinId="8" hidden="1"/>
    <cellStyle name="Hyperlink" xfId="305" builtinId="8" hidden="1"/>
    <cellStyle name="Hyperlink" xfId="685" builtinId="8" hidden="1"/>
    <cellStyle name="Hyperlink" xfId="175" builtinId="8" hidden="1"/>
    <cellStyle name="Hyperlink" xfId="787" builtinId="8" hidden="1"/>
    <cellStyle name="Hyperlink" xfId="813" builtinId="8" hidden="1"/>
    <cellStyle name="Hyperlink" xfId="807" builtinId="8" hidden="1"/>
    <cellStyle name="Hyperlink" xfId="397" builtinId="8" hidden="1"/>
    <cellStyle name="Hyperlink" xfId="541" builtinId="8" hidden="1"/>
    <cellStyle name="Hyperlink" xfId="717" builtinId="8" hidden="1"/>
    <cellStyle name="Hyperlink" xfId="323" builtinId="8" hidden="1"/>
    <cellStyle name="Hyperlink" xfId="303" builtinId="8" hidden="1"/>
    <cellStyle name="Hyperlink" xfId="279" builtinId="8" hidden="1"/>
    <cellStyle name="Hyperlink" xfId="235" builtinId="8" hidden="1"/>
    <cellStyle name="Hyperlink" xfId="219" builtinId="8" hidden="1"/>
    <cellStyle name="Hyperlink" xfId="199" builtinId="8" hidden="1"/>
    <cellStyle name="Hyperlink" xfId="801" builtinId="8" hidden="1"/>
    <cellStyle name="Hyperlink" xfId="573" builtinId="8" hidden="1"/>
    <cellStyle name="Hyperlink" xfId="215" builtinId="8" hidden="1"/>
    <cellStyle name="Hyperlink" xfId="325" builtinId="8" hidden="1"/>
    <cellStyle name="Hyperlink" xfId="121" builtinId="8" hidden="1"/>
    <cellStyle name="Hyperlink" xfId="43" builtinId="8" hidden="1"/>
    <cellStyle name="Hyperlink" xfId="11" builtinId="8" hidden="1"/>
    <cellStyle name="Hyperlink" xfId="23" builtinId="8" hidden="1"/>
    <cellStyle name="Hyperlink" xfId="65" builtinId="8" hidden="1"/>
    <cellStyle name="Hyperlink" xfId="151" builtinId="8" hidden="1"/>
    <cellStyle name="Hyperlink" xfId="133" builtinId="8" hidden="1"/>
    <cellStyle name="Hyperlink" xfId="107" builtinId="8" hidden="1"/>
    <cellStyle name="Hyperlink" xfId="333" builtinId="8" hidden="1"/>
    <cellStyle name="Hyperlink" xfId="443" builtinId="8" hidden="1"/>
    <cellStyle name="Hyperlink" xfId="2216" builtinId="8" hidden="1"/>
    <cellStyle name="Hyperlink" xfId="1500" builtinId="8" hidden="1"/>
    <cellStyle name="Hyperlink" xfId="1666" builtinId="8" hidden="1"/>
    <cellStyle name="Hyperlink" xfId="1830" builtinId="8" hidden="1"/>
    <cellStyle name="Hyperlink" xfId="1782" builtinId="8" hidden="1"/>
    <cellStyle name="Hyperlink" xfId="1758" builtinId="8" hidden="1"/>
    <cellStyle name="Hyperlink" xfId="1734" builtinId="8" hidden="1"/>
    <cellStyle name="Hyperlink" xfId="1684" builtinId="8" hidden="1"/>
    <cellStyle name="Hyperlink" xfId="665" builtinId="8" hidden="1"/>
    <cellStyle name="Hyperlink" xfId="649" builtinId="8" hidden="1"/>
    <cellStyle name="Hyperlink" xfId="611" builtinId="8" hidden="1"/>
    <cellStyle name="Hyperlink" xfId="567" builtinId="8" hidden="1"/>
    <cellStyle name="Hyperlink" xfId="551" builtinId="8" hidden="1"/>
    <cellStyle name="Hyperlink" xfId="513" builtinId="8" hidden="1"/>
    <cellStyle name="Hyperlink" xfId="497" builtinId="8" hidden="1"/>
    <cellStyle name="Hyperlink" xfId="483" builtinId="8" hidden="1"/>
    <cellStyle name="Hyperlink" xfId="427" builtinId="8" hidden="1"/>
    <cellStyle name="Hyperlink" xfId="401" builtinId="8" hidden="1"/>
    <cellStyle name="Hyperlink" xfId="385" builtinId="8" hidden="1"/>
    <cellStyle name="Hyperlink" xfId="861" builtinId="8" hidden="1"/>
    <cellStyle name="Hyperlink" xfId="917" builtinId="8" hidden="1"/>
    <cellStyle name="Hyperlink" xfId="957" builtinId="8" hidden="1"/>
    <cellStyle name="Hyperlink" xfId="1165" builtinId="8" hidden="1"/>
    <cellStyle name="Hyperlink" xfId="1262" builtinId="8" hidden="1"/>
    <cellStyle name="Hyperlink" xfId="1302" builtinId="8" hidden="1"/>
    <cellStyle name="Hyperlink" xfId="1454" builtinId="8" hidden="1"/>
    <cellStyle name="Hyperlink" xfId="1502" builtinId="8" hidden="1"/>
    <cellStyle name="Hyperlink" xfId="1646" builtinId="8" hidden="1"/>
    <cellStyle name="Hyperlink" xfId="1752" builtinId="8" hidden="1"/>
    <cellStyle name="Hyperlink" xfId="1848" builtinId="8" hidden="1"/>
    <cellStyle name="Hyperlink" xfId="1888" builtinId="8" hidden="1"/>
    <cellStyle name="Hyperlink" xfId="825" builtinId="8" hidden="1"/>
    <cellStyle name="Hyperlink" xfId="193" builtinId="8" hidden="1"/>
    <cellStyle name="Hyperlink" xfId="285" builtinId="8" hidden="1"/>
    <cellStyle name="Hyperlink" xfId="87" builtinId="8" hidden="1"/>
    <cellStyle name="Hyperlink" xfId="47" builtinId="8" hidden="1"/>
    <cellStyle name="Hyperlink" xfId="27" builtinId="8" hidden="1"/>
    <cellStyle name="Hyperlink" xfId="819" builtinId="8" hidden="1"/>
    <cellStyle name="Hyperlink" xfId="673" builtinId="8" hidden="1"/>
    <cellStyle name="Hyperlink" xfId="379" builtinId="8" hidden="1"/>
    <cellStyle name="Hyperlink" xfId="1768" builtinId="8" hidden="1"/>
    <cellStyle name="Hyperlink" xfId="2286" builtinId="8" hidden="1"/>
    <cellStyle name="Hyperlink" xfId="2116" builtinId="8" hidden="1"/>
    <cellStyle name="Hyperlink" xfId="1444" builtinId="8" hidden="1"/>
    <cellStyle name="Hyperlink" xfId="1492" builtinId="8" hidden="1"/>
    <cellStyle name="Hyperlink" xfId="1588" builtinId="8" hidden="1"/>
    <cellStyle name="Hyperlink" xfId="1688" builtinId="8" hidden="1"/>
    <cellStyle name="Hyperlink" xfId="1788" builtinId="8" hidden="1"/>
    <cellStyle name="Hyperlink" xfId="1884" builtinId="8" hidden="1"/>
    <cellStyle name="Hyperlink" xfId="1055" builtinId="8" hidden="1"/>
    <cellStyle name="Hyperlink" xfId="1103" builtinId="8" hidden="1"/>
    <cellStyle name="Hyperlink" xfId="1193" builtinId="8" hidden="1"/>
    <cellStyle name="Hyperlink" xfId="1284" builtinId="8" hidden="1"/>
    <cellStyle name="Hyperlink" xfId="1033" builtinId="8" hidden="1"/>
    <cellStyle name="Hyperlink" xfId="905" builtinId="8" hidden="1"/>
    <cellStyle name="Hyperlink" xfId="849" builtinId="8" hidden="1"/>
    <cellStyle name="Hyperlink" xfId="873" builtinId="8" hidden="1"/>
    <cellStyle name="Hyperlink" xfId="931" builtinId="8" hidden="1"/>
    <cellStyle name="Hyperlink" xfId="1041" builtinId="8" hidden="1"/>
    <cellStyle name="Hyperlink" xfId="1027" builtinId="8" hidden="1"/>
    <cellStyle name="Hyperlink" xfId="1011" builtinId="8" hidden="1"/>
    <cellStyle name="Hyperlink" xfId="969" builtinId="8" hidden="1"/>
    <cellStyle name="Hyperlink" xfId="953" builtinId="8" hidden="1"/>
    <cellStyle name="Hyperlink" xfId="1185" builtinId="8" hidden="1"/>
    <cellStyle name="Hyperlink" xfId="1248" builtinId="8" hidden="1"/>
    <cellStyle name="Hyperlink" xfId="1234" builtinId="8" hidden="1"/>
    <cellStyle name="Hyperlink" xfId="1217" builtinId="8" hidden="1"/>
    <cellStyle name="Hyperlink" xfId="1171" builtinId="8" hidden="1"/>
    <cellStyle name="Hyperlink" xfId="1155" builtinId="8" hidden="1"/>
    <cellStyle name="Hyperlink" xfId="1111" builtinId="8" hidden="1"/>
    <cellStyle name="Hyperlink" xfId="1065" builtinId="8" hidden="1"/>
    <cellStyle name="Hyperlink" xfId="1049" builtinId="8" hidden="1"/>
    <cellStyle name="Hyperlink" xfId="1400" builtinId="8" hidden="1"/>
    <cellStyle name="Hyperlink" xfId="1742" builtinId="8" hidden="1"/>
    <cellStyle name="Hyperlink" xfId="1910" builtinId="8" hidden="1"/>
    <cellStyle name="Hyperlink" xfId="1894" builtinId="8" hidden="1"/>
    <cellStyle name="Hyperlink" xfId="1844" builtinId="8" hidden="1"/>
    <cellStyle name="Hyperlink" xfId="773" builtinId="8" hidden="1"/>
    <cellStyle name="Hyperlink" xfId="763" builtinId="8" hidden="1"/>
    <cellStyle name="Hyperlink" xfId="699" builtinId="8" hidden="1"/>
    <cellStyle name="Hyperlink" xfId="681" builtinId="8" hidden="1"/>
    <cellStyle name="Hyperlink" xfId="663" builtinId="8" hidden="1"/>
    <cellStyle name="Hyperlink" xfId="617" builtinId="8" hidden="1"/>
    <cellStyle name="Hyperlink" xfId="609" builtinId="8" hidden="1"/>
    <cellStyle name="Hyperlink" xfId="591" builtinId="8" hidden="1"/>
    <cellStyle name="Hyperlink" xfId="535" builtinId="8" hidden="1"/>
    <cellStyle name="Hyperlink" xfId="507" builtinId="8" hidden="1"/>
    <cellStyle name="Hyperlink" xfId="499" builtinId="8" hidden="1"/>
    <cellStyle name="Hyperlink" xfId="463" builtinId="8" hidden="1"/>
    <cellStyle name="Hyperlink" xfId="435" builtinId="8" hidden="1"/>
    <cellStyle name="Hyperlink" xfId="399" builtinId="8" hidden="1"/>
    <cellStyle name="Hyperlink" xfId="371" builtinId="8" hidden="1"/>
    <cellStyle name="Hyperlink" xfId="901" builtinId="8" hidden="1"/>
    <cellStyle name="Hyperlink" xfId="933" builtinId="8" hidden="1"/>
    <cellStyle name="Hyperlink" xfId="1061" builtinId="8" hidden="1"/>
    <cellStyle name="Hyperlink" xfId="1157" builtinId="8" hidden="1"/>
    <cellStyle name="Hyperlink" xfId="1286" builtinId="8" hidden="1"/>
    <cellStyle name="Hyperlink" xfId="1350" builtinId="8" hidden="1"/>
    <cellStyle name="Hyperlink" xfId="1446" builtinId="8" hidden="1"/>
    <cellStyle name="Hyperlink" xfId="1478" builtinId="8" hidden="1"/>
    <cellStyle name="Hyperlink" xfId="1704" builtinId="8" hidden="1"/>
    <cellStyle name="Hyperlink" xfId="1736" builtinId="8" hidden="1"/>
    <cellStyle name="Hyperlink" xfId="1832" builtinId="8" hidden="1"/>
    <cellStyle name="Hyperlink" xfId="1960" builtinId="8" hidden="1"/>
    <cellStyle name="Hyperlink" xfId="2056" builtinId="8" hidden="1"/>
    <cellStyle name="Hyperlink" xfId="2088" builtinId="8" hidden="1"/>
    <cellStyle name="Hyperlink" xfId="2312" builtinId="8" hidden="1"/>
    <cellStyle name="Hyperlink" xfId="2344" builtinId="8" hidden="1"/>
    <cellStyle name="Hyperlink" xfId="2404" builtinId="8" hidden="1"/>
    <cellStyle name="Hyperlink" xfId="2382" builtinId="8" hidden="1"/>
    <cellStyle name="Hyperlink" xfId="2340" builtinId="8" hidden="1"/>
    <cellStyle name="Hyperlink" xfId="2308" builtinId="8" hidden="1"/>
    <cellStyle name="Hyperlink" xfId="2266" builtinId="8" hidden="1"/>
    <cellStyle name="Hyperlink" xfId="2234" builtinId="8" hidden="1"/>
    <cellStyle name="Hyperlink" xfId="2212" builtinId="8" hidden="1"/>
    <cellStyle name="Hyperlink" xfId="2180" builtinId="8" hidden="1"/>
    <cellStyle name="Hyperlink" xfId="2126" builtinId="8" hidden="1"/>
    <cellStyle name="Hyperlink" xfId="2106" builtinId="8" hidden="1"/>
    <cellStyle name="Hyperlink" xfId="2062" builtinId="8" hidden="1"/>
    <cellStyle name="Hyperlink" xfId="2052" builtinId="8" hidden="1"/>
    <cellStyle name="Hyperlink" xfId="2010" builtinId="8" hidden="1"/>
    <cellStyle name="Hyperlink" xfId="1956" builtinId="8" hidden="1"/>
    <cellStyle name="Hyperlink" xfId="1934" builtinId="8" hidden="1"/>
    <cellStyle name="Hyperlink" xfId="1304" builtinId="8" hidden="1"/>
    <cellStyle name="Hyperlink" xfId="1320" builtinId="8" hidden="1"/>
    <cellStyle name="Hyperlink" xfId="1324" builtinId="8" hidden="1"/>
    <cellStyle name="Hyperlink" xfId="1330" builtinId="8" hidden="1"/>
    <cellStyle name="Hyperlink" xfId="1352" builtinId="8" hidden="1"/>
    <cellStyle name="Hyperlink" xfId="1354" builtinId="8" hidden="1"/>
    <cellStyle name="Hyperlink" xfId="1362" builtinId="8" hidden="1"/>
    <cellStyle name="Hyperlink" xfId="1376" builtinId="8" hidden="1"/>
    <cellStyle name="Hyperlink" xfId="1380" builtinId="8" hidden="1"/>
    <cellStyle name="Hyperlink" xfId="1392" builtinId="8" hidden="1"/>
    <cellStyle name="Hyperlink" xfId="1410" builtinId="8" hidden="1"/>
    <cellStyle name="Hyperlink" xfId="1412" builtinId="8" hidden="1"/>
    <cellStyle name="Hyperlink" xfId="1416" builtinId="8" hidden="1"/>
    <cellStyle name="Hyperlink" xfId="1428" builtinId="8" hidden="1"/>
    <cellStyle name="Hyperlink" xfId="1448" builtinId="8" hidden="1"/>
    <cellStyle name="Hyperlink" xfId="1450" builtinId="8" hidden="1"/>
    <cellStyle name="Hyperlink" xfId="1460" builtinId="8" hidden="1"/>
    <cellStyle name="Hyperlink" xfId="1466" builtinId="8" hidden="1"/>
    <cellStyle name="Hyperlink" xfId="1474" builtinId="8" hidden="1"/>
    <cellStyle name="Hyperlink" xfId="1490" builtinId="8" hidden="1"/>
    <cellStyle name="Hyperlink" xfId="1498" builtinId="8" hidden="1"/>
    <cellStyle name="Hyperlink" xfId="150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46" builtinId="8" hidden="1"/>
    <cellStyle name="Hyperlink" xfId="1556" builtinId="8" hidden="1"/>
    <cellStyle name="Hyperlink" xfId="1560" builtinId="8" hidden="1"/>
    <cellStyle name="Hyperlink" xfId="1576" builtinId="8" hidden="1"/>
    <cellStyle name="Hyperlink" xfId="1580" builtinId="8" hidden="1"/>
    <cellStyle name="Hyperlink" xfId="1594" builtinId="8" hidden="1"/>
    <cellStyle name="Hyperlink" xfId="1604" builtinId="8" hidden="1"/>
    <cellStyle name="Hyperlink" xfId="1610" builtinId="8" hidden="1"/>
    <cellStyle name="Hyperlink" xfId="1618" builtinId="8" hidden="1"/>
    <cellStyle name="Hyperlink" xfId="1628" builtinId="8" hidden="1"/>
    <cellStyle name="Hyperlink" xfId="1642" builtinId="8" hidden="1"/>
    <cellStyle name="Hyperlink" xfId="1648" builtinId="8" hidden="1"/>
    <cellStyle name="Hyperlink" xfId="1658" builtinId="8" hidden="1"/>
    <cellStyle name="Hyperlink" xfId="1668" builtinId="8" hidden="1"/>
    <cellStyle name="Hyperlink" xfId="1672" builtinId="8" hidden="1"/>
    <cellStyle name="Hyperlink" xfId="1636" builtinId="8" hidden="1"/>
    <cellStyle name="Hyperlink" xfId="1584" builtinId="8" hidden="1"/>
    <cellStyle name="Hyperlink" xfId="1538" builtinId="8" hidden="1"/>
    <cellStyle name="Hyperlink" xfId="1434" builtinId="8" hidden="1"/>
    <cellStyle name="Hyperlink" xfId="1388" builtinId="8" hidden="1"/>
    <cellStyle name="Hyperlink" xfId="1338" builtinId="8" hidden="1"/>
    <cellStyle name="Hyperlink" xfId="2148" builtinId="8" hidden="1"/>
    <cellStyle name="Hyperlink" xfId="2318" builtinId="8" hidden="1"/>
    <cellStyle name="Hyperlink" xfId="2120" builtinId="8" hidden="1"/>
    <cellStyle name="Hyperlink" xfId="1093" builtinId="8" hidden="1"/>
    <cellStyle name="Hyperlink" xfId="425" builtinId="8" hidden="1"/>
    <cellStyle name="Hyperlink" xfId="571" builtinId="8" hidden="1"/>
    <cellStyle name="Hyperlink" xfId="1870" builtinId="8" hidden="1"/>
    <cellStyle name="Hyperlink" xfId="1127" builtinId="8" hidden="1"/>
    <cellStyle name="Hyperlink" xfId="1292" builtinId="8" hidden="1"/>
    <cellStyle name="Hyperlink" xfId="987" builtinId="8" hidden="1"/>
    <cellStyle name="Hyperlink" xfId="1836" builtinId="8" hidden="1"/>
    <cellStyle name="Hyperlink" xfId="1946" builtinId="8" hidden="1"/>
    <cellStyle name="Hyperlink" xfId="493" builtinId="8" hidden="1"/>
    <cellStyle name="Hyperlink" xfId="1550" builtinId="8" hidden="1"/>
    <cellStyle name="Hyperlink" xfId="1069" builtinId="8" hidden="1"/>
    <cellStyle name="Hyperlink" xfId="595" builtinId="8" hidden="1"/>
    <cellStyle name="Hyperlink" xfId="2008" builtinId="8" hidden="1"/>
    <cellStyle name="Hyperlink" xfId="1976" builtinId="8" hidden="1"/>
    <cellStyle name="Hyperlink" xfId="2354" builtinId="8" hidden="1"/>
    <cellStyle name="Hyperlink" xfId="2238" builtinId="8" hidden="1"/>
    <cellStyle name="Hyperlink" xfId="2078" builtinId="8" hidden="1"/>
    <cellStyle name="Hyperlink" xfId="2092" builtinId="8" hidden="1"/>
    <cellStyle name="Hyperlink" xfId="2098" builtinId="8" hidden="1"/>
    <cellStyle name="Hyperlink" xfId="2108" builtinId="8" hidden="1"/>
    <cellStyle name="Hyperlink" xfId="2118" builtinId="8" hidden="1"/>
    <cellStyle name="Hyperlink" xfId="2124" builtinId="8" hidden="1"/>
    <cellStyle name="Hyperlink" xfId="2132" builtinId="8" hidden="1"/>
    <cellStyle name="Hyperlink" xfId="2146" builtinId="8" hidden="1"/>
    <cellStyle name="Hyperlink" xfId="2150" builtinId="8" hidden="1"/>
    <cellStyle name="Hyperlink" xfId="2154" builtinId="8" hidden="1"/>
    <cellStyle name="Hyperlink" xfId="2174" builtinId="8" hidden="1"/>
    <cellStyle name="Hyperlink" xfId="2186" builtinId="8" hidden="1"/>
    <cellStyle name="Hyperlink" xfId="2194" builtinId="8" hidden="1"/>
    <cellStyle name="Hyperlink" xfId="2206" builtinId="8" hidden="1"/>
    <cellStyle name="Hyperlink" xfId="2210" builtinId="8" hidden="1"/>
    <cellStyle name="Hyperlink" xfId="2214" builtinId="8" hidden="1"/>
    <cellStyle name="Hyperlink" xfId="2182" builtinId="8" hidden="1"/>
    <cellStyle name="Hyperlink" xfId="2006" builtinId="8" hidden="1"/>
    <cellStyle name="Hyperlink" xfId="2014" builtinId="8" hidden="1"/>
    <cellStyle name="Hyperlink" xfId="2026" builtinId="8" hidden="1"/>
    <cellStyle name="Hyperlink" xfId="2036" builtinId="8" hidden="1"/>
    <cellStyle name="Hyperlink" xfId="2044" builtinId="8" hidden="1"/>
    <cellStyle name="Hyperlink" xfId="2058" builtinId="8" hidden="1"/>
    <cellStyle name="Hyperlink" xfId="2066" builtinId="8" hidden="1"/>
    <cellStyle name="Hyperlink" xfId="2076" builtinId="8" hidden="1"/>
    <cellStyle name="Hyperlink" xfId="1972" builtinId="8" hidden="1"/>
    <cellStyle name="Hyperlink" xfId="1982" builtinId="8" hidden="1"/>
    <cellStyle name="Hyperlink" xfId="1986" builtinId="8" hidden="1"/>
    <cellStyle name="Hyperlink" xfId="2002" builtinId="8" hidden="1"/>
    <cellStyle name="Hyperlink" xfId="1950" builtinId="8" hidden="1"/>
    <cellStyle name="Hyperlink" xfId="1958" builtinId="8" hidden="1"/>
    <cellStyle name="Hyperlink" xfId="1948" builtinId="8" hidden="1"/>
    <cellStyle name="Hyperlink" xfId="1942" builtinId="8" hidden="1"/>
    <cellStyle name="Hyperlink" xfId="1954" builtinId="8" hidden="1"/>
    <cellStyle name="Hyperlink" xfId="2068" builtinId="8" hidden="1"/>
    <cellStyle name="Hyperlink" xfId="2060" builtinId="8" hidden="1"/>
    <cellStyle name="Hyperlink" xfId="2046" builtinId="8" hidden="1"/>
    <cellStyle name="Hyperlink" xfId="2004" builtinId="8" hidden="1"/>
    <cellStyle name="Hyperlink" xfId="2218" builtinId="8" hidden="1"/>
    <cellStyle name="Hyperlink" xfId="2188" builtinId="8" hidden="1"/>
    <cellStyle name="Hyperlink" xfId="2156" builtinId="8" hidden="1"/>
    <cellStyle name="Hyperlink" xfId="2130" builtinId="8" hidden="1"/>
    <cellStyle name="Hyperlink" xfId="2114" builtinId="8" hidden="1"/>
    <cellStyle name="Hyperlink" xfId="2080" builtinId="8" hidden="1"/>
    <cellStyle name="Hyperlink" xfId="2000" builtinId="8" hidden="1"/>
    <cellStyle name="Hyperlink" xfId="2096" builtinId="8" hidden="1"/>
    <cellStyle name="Hyperlink" xfId="2176" builtinId="8" hidden="1"/>
    <cellStyle name="Hyperlink" xfId="2272" builtinId="8" hidden="1"/>
    <cellStyle name="Hyperlink" xfId="2320" builtinId="8" hidden="1"/>
    <cellStyle name="Hyperlink" xfId="2398" builtinId="8" hidden="1"/>
    <cellStyle name="Hyperlink" xfId="2386" builtinId="8" hidden="1"/>
    <cellStyle name="Hyperlink" xfId="2370" builtinId="8" hidden="1"/>
    <cellStyle name="Hyperlink" xfId="2324" builtinId="8" hidden="1"/>
    <cellStyle name="Hyperlink" xfId="2310" builtinId="8" hidden="1"/>
    <cellStyle name="Hyperlink" xfId="2278" builtinId="8" hidden="1"/>
    <cellStyle name="Hyperlink" xfId="1744" builtinId="8" hidden="1"/>
    <cellStyle name="Hyperlink" xfId="1398" builtinId="8" hidden="1"/>
    <cellStyle name="Hyperlink" xfId="1053" builtinId="8" hidden="1"/>
    <cellStyle name="Hyperlink" xfId="583" builtinId="8" hidden="1"/>
    <cellStyle name="Hyperlink" xfId="679" builtinId="8" hidden="1"/>
    <cellStyle name="Hyperlink" xfId="735" builtinId="8" hidden="1"/>
    <cellStyle name="Hyperlink" xfId="707" builtinId="8" hidden="1"/>
    <cellStyle name="Hyperlink" xfId="677" builtinId="8" hidden="1"/>
    <cellStyle name="Hyperlink" xfId="2262" builtinId="8" hidden="1"/>
    <cellStyle name="Hyperlink" xfId="1940" builtinId="8" hidden="1"/>
    <cellStyle name="Hyperlink" xfId="2038" builtinId="8" hidden="1"/>
    <cellStyle name="Hyperlink" xfId="2164" builtinId="8" hidden="1"/>
    <cellStyle name="Hyperlink" xfId="2268" builtinId="8" hidden="1"/>
    <cellStyle name="Hyperlink" xfId="2274" builtinId="8" hidden="1"/>
    <cellStyle name="Hyperlink" xfId="2282" builtinId="8" hidden="1"/>
    <cellStyle name="Hyperlink" xfId="2300" builtinId="8" hidden="1"/>
    <cellStyle name="Hyperlink" xfId="2302" builtinId="8" hidden="1"/>
    <cellStyle name="Hyperlink" xfId="2306" builtinId="8" hidden="1"/>
    <cellStyle name="Hyperlink" xfId="2322" builtinId="8" hidden="1"/>
    <cellStyle name="Hyperlink" xfId="2326" builtinId="8" hidden="1"/>
    <cellStyle name="Hyperlink" xfId="2334" builtinId="8" hidden="1"/>
    <cellStyle name="Hyperlink" xfId="2346" builtinId="8" hidden="1"/>
    <cellStyle name="Hyperlink" xfId="2358" builtinId="8" hidden="1"/>
    <cellStyle name="Hyperlink" xfId="2364" builtinId="8" hidden="1"/>
    <cellStyle name="Hyperlink" xfId="2378" builtinId="8" hidden="1"/>
    <cellStyle name="Hyperlink" xfId="2380" builtinId="8" hidden="1"/>
    <cellStyle name="Hyperlink" xfId="2388" builtinId="8" hidden="1"/>
    <cellStyle name="Hyperlink" xfId="2402" builtinId="8" hidden="1"/>
    <cellStyle name="Hyperlink" xfId="2406" builtinId="8" hidden="1"/>
    <cellStyle name="Hyperlink" xfId="2392" builtinId="8" hidden="1"/>
    <cellStyle name="Hyperlink" xfId="2368" builtinId="8" hidden="1"/>
    <cellStyle name="Hyperlink" xfId="2336" builtinId="8" hidden="1"/>
    <cellStyle name="Hyperlink" xfId="2328" builtinId="8" hidden="1"/>
    <cellStyle name="Hyperlink" xfId="2288" builtinId="8" hidden="1"/>
    <cellStyle name="Hyperlink" xfId="2240" builtinId="8" hidden="1"/>
    <cellStyle name="Hyperlink" xfId="2208" builtinId="8" hidden="1"/>
    <cellStyle name="Hyperlink" xfId="2192" builtinId="8" hidden="1"/>
    <cellStyle name="Hyperlink" xfId="2160" builtinId="8" hidden="1"/>
    <cellStyle name="Hyperlink" xfId="2144" builtinId="8" hidden="1"/>
    <cellStyle name="Hyperlink" xfId="2104" builtinId="8" hidden="1"/>
    <cellStyle name="Hyperlink" xfId="2072" builtinId="8" hidden="1"/>
    <cellStyle name="Hyperlink" xfId="2064" builtinId="8" hidden="1"/>
    <cellStyle name="Hyperlink" xfId="2016" builtinId="8" hidden="1"/>
    <cellStyle name="Hyperlink" xfId="2264" builtinId="8" hidden="1"/>
    <cellStyle name="Hyperlink" xfId="705" builtinId="8" hidden="1"/>
    <cellStyle name="Hyperlink" xfId="607" builtinId="8" hidden="1"/>
    <cellStyle name="Hyperlink" xfId="559" builtinId="8" hidden="1"/>
    <cellStyle name="Hyperlink" xfId="511" builtinId="8" hidden="1"/>
    <cellStyle name="Hyperlink" xfId="437" builtinId="8" hidden="1"/>
    <cellStyle name="Hyperlink" xfId="363" builtinId="8" hidden="1"/>
    <cellStyle name="Hyperlink" xfId="885" builtinId="8" hidden="1"/>
    <cellStyle name="Hyperlink" xfId="1230" builtinId="8" hidden="1"/>
    <cellStyle name="Hyperlink" xfId="1310" builtinId="8" hidden="1"/>
    <cellStyle name="Hyperlink" xfId="1486" builtinId="8" hidden="1"/>
    <cellStyle name="Hyperlink" xfId="1824" builtinId="8" hidden="1"/>
    <cellStyle name="Hyperlink" xfId="1912" builtinId="8" hidden="1"/>
    <cellStyle name="Hyperlink" xfId="2236" builtinId="8" hidden="1"/>
    <cellStyle name="Hyperlink" xfId="2258" builtinId="8" hidden="1"/>
    <cellStyle name="Hyperlink" xfId="2260" builtinId="8" hidden="1"/>
    <cellStyle name="Hyperlink" xfId="2246" builtinId="8" hidden="1"/>
    <cellStyle name="Hyperlink" xfId="703" builtinId="8" hidden="1"/>
    <cellStyle name="Hyperlink" xfId="713" builtinId="8" hidden="1"/>
    <cellStyle name="Hyperlink" xfId="715" builtinId="8" hidden="1"/>
    <cellStyle name="Hyperlink" xfId="731" builtinId="8" hidden="1"/>
    <cellStyle name="Hyperlink" xfId="739" builtinId="8" hidden="1"/>
    <cellStyle name="Hyperlink" xfId="741" builtinId="8" hidden="1"/>
    <cellStyle name="Hyperlink" xfId="729" builtinId="8" hidden="1"/>
    <cellStyle name="Hyperlink" xfId="667" builtinId="8" hidden="1"/>
    <cellStyle name="Hyperlink" xfId="675" builtinId="8" hidden="1"/>
    <cellStyle name="Hyperlink" xfId="687" builtinId="8" hidden="1"/>
    <cellStyle name="Hyperlink" xfId="695" builtinId="8" hidden="1"/>
    <cellStyle name="Hyperlink" xfId="659" builtinId="8" hidden="1"/>
    <cellStyle name="Hyperlink" xfId="647" builtinId="8" hidden="1"/>
    <cellStyle name="Hyperlink" xfId="643" builtinId="8" hidden="1"/>
    <cellStyle name="Hyperlink" xfId="661" builtinId="8" hidden="1"/>
    <cellStyle name="Hyperlink" xfId="683" builtinId="8" hidden="1"/>
    <cellStyle name="Hyperlink" xfId="751" builtinId="8" hidden="1"/>
    <cellStyle name="Hyperlink" xfId="723" builtinId="8" hidden="1"/>
    <cellStyle name="Hyperlink" xfId="697" builtinId="8" hidden="1"/>
    <cellStyle name="Hyperlink" xfId="2242" builtinId="8" hidden="1"/>
    <cellStyle name="Hyperlink" xfId="1654" builtinId="8" hidden="1"/>
    <cellStyle name="Hyperlink" xfId="973" builtinId="8" hidden="1"/>
    <cellStyle name="Hyperlink" xfId="459" builtinId="8" hidden="1"/>
    <cellStyle name="Hyperlink" xfId="631" builtinId="8" hidden="1"/>
    <cellStyle name="Hyperlink" xfId="2032" builtinId="8" hidden="1"/>
    <cellStyle name="Hyperlink" xfId="2128" builtinId="8" hidden="1"/>
    <cellStyle name="Hyperlink" xfId="2200" builtinId="8" hidden="1"/>
    <cellStyle name="Hyperlink" xfId="2304" builtinId="8" hidden="1"/>
    <cellStyle name="Hyperlink" xfId="2384" builtinId="8" hidden="1"/>
    <cellStyle name="Hyperlink" xfId="2396" builtinId="8" hidden="1"/>
    <cellStyle name="Hyperlink" xfId="2366" builtinId="8" hidden="1"/>
    <cellStyle name="Hyperlink" xfId="2342" builtinId="8" hidden="1"/>
    <cellStyle name="Hyperlink" xfId="2316" builtinId="8" hidden="1"/>
    <cellStyle name="Hyperlink" xfId="2284" builtinId="8" hidden="1"/>
    <cellStyle name="Hyperlink" xfId="2256" builtinId="8" hidden="1"/>
    <cellStyle name="Hyperlink" xfId="2294" builtinId="8" hidden="1"/>
    <cellStyle name="Hyperlink" xfId="721" builtinId="8" hidden="1"/>
    <cellStyle name="Hyperlink" xfId="485" builtinId="8" hidden="1"/>
    <cellStyle name="Hyperlink" xfId="2250" builtinId="8" hidden="1"/>
    <cellStyle name="Hyperlink" xfId="2338" builtinId="8" hidden="1"/>
    <cellStyle name="Hyperlink" xfId="2360" builtinId="8" hidden="1"/>
    <cellStyle name="Hyperlink" xfId="2136" builtinId="8" hidden="1"/>
    <cellStyle name="Hyperlink" xfId="2100" builtinId="8" hidden="1"/>
    <cellStyle name="Hyperlink" xfId="2172" builtinId="8" hidden="1"/>
    <cellStyle name="Hyperlink" xfId="2018" builtinId="8" hidden="1"/>
    <cellStyle name="Hyperlink" xfId="1994" builtinId="8" hidden="1"/>
    <cellStyle name="Hyperlink" xfId="1964" builtinId="8" hidden="1"/>
    <cellStyle name="Hyperlink" xfId="1990" builtinId="8" hidden="1"/>
    <cellStyle name="Hyperlink" xfId="1970" builtinId="8" hidden="1"/>
    <cellStyle name="Hyperlink" xfId="2054" builtinId="8" hidden="1"/>
    <cellStyle name="Hyperlink" xfId="2022" builtinId="8" hidden="1"/>
    <cellStyle name="Hyperlink" xfId="2226" builtinId="8" hidden="1"/>
    <cellStyle name="Hyperlink" xfId="2196" builtinId="8" hidden="1"/>
    <cellStyle name="Hyperlink" xfId="2166" builtinId="8" hidden="1"/>
    <cellStyle name="Hyperlink" xfId="2134" builtinId="8" hidden="1"/>
    <cellStyle name="Hyperlink" xfId="2110" builtinId="8" hidden="1"/>
    <cellStyle name="Hyperlink" xfId="2090" builtinId="8" hidden="1"/>
    <cellStyle name="Hyperlink" xfId="1968" builtinId="8" hidden="1"/>
    <cellStyle name="Hyperlink" xfId="441" builtinId="8" hidden="1"/>
    <cellStyle name="Hyperlink" xfId="231" builtinId="8" hidden="1"/>
    <cellStyle name="Hyperlink" xfId="899" builtinId="8" hidden="1"/>
    <cellStyle name="Hyperlink" xfId="719" builtinId="8" hidden="1"/>
    <cellStyle name="Hyperlink" xfId="1670" builtinId="8" hidden="1"/>
    <cellStyle name="Hyperlink" xfId="1978" builtinId="8" hidden="1"/>
    <cellStyle name="Hyperlink" xfId="1488" builtinId="8" hidden="1"/>
    <cellStyle name="Hyperlink" xfId="1680" builtinId="8" hidden="1"/>
    <cellStyle name="Hyperlink" xfId="1652" builtinId="8" hidden="1"/>
    <cellStyle name="Hyperlink" xfId="1620" builtinId="8" hidden="1"/>
    <cellStyle name="Hyperlink" xfId="1596" builtinId="8" hidden="1"/>
    <cellStyle name="Hyperlink" xfId="1562" builtinId="8" hidden="1"/>
    <cellStyle name="Hyperlink" xfId="1544" builtinId="8" hidden="1"/>
    <cellStyle name="Hyperlink" xfId="1512" builtinId="8" hidden="1"/>
    <cellStyle name="Hyperlink" xfId="1482" builtinId="8" hidden="1"/>
    <cellStyle name="Hyperlink" xfId="1452" builtinId="8" hidden="1"/>
    <cellStyle name="Hyperlink" xfId="1426" builtinId="8" hidden="1"/>
    <cellStyle name="Hyperlink" xfId="1396" builtinId="8" hidden="1"/>
    <cellStyle name="Hyperlink" xfId="1368" builtinId="8" hidden="1"/>
    <cellStyle name="Hyperlink" xfId="1344" builtinId="8" hidden="1"/>
    <cellStyle name="Hyperlink" xfId="1316" builtinId="8" hidden="1"/>
    <cellStyle name="Hyperlink" xfId="1998" builtinId="8" hidden="1"/>
    <cellStyle name="Hyperlink" xfId="2084" builtinId="8" hidden="1"/>
    <cellStyle name="Hyperlink" xfId="2190" builtinId="8" hidden="1"/>
    <cellStyle name="Hyperlink" xfId="2276" builtinId="8" hidden="1"/>
    <cellStyle name="Hyperlink" xfId="2394" builtinId="8" hidden="1"/>
    <cellStyle name="Hyperlink" xfId="2248" builtinId="8" hidden="1"/>
    <cellStyle name="Hyperlink" xfId="1928" builtinId="8" hidden="1"/>
    <cellStyle name="Hyperlink" xfId="1574" builtinId="8" hidden="1"/>
    <cellStyle name="Hyperlink" xfId="1318" builtinId="8" hidden="1"/>
    <cellStyle name="Hyperlink" xfId="965" builtinId="8" hidden="1"/>
    <cellStyle name="Hyperlink" xfId="389" builtinId="8" hidden="1"/>
    <cellStyle name="Hyperlink" xfId="481" builtinId="8" hidden="1"/>
    <cellStyle name="Hyperlink" xfId="553" builtinId="8" hidden="1"/>
    <cellStyle name="Hyperlink" xfId="655" builtinId="8" hidden="1"/>
    <cellStyle name="Hyperlink" xfId="727" builtinId="8" hidden="1"/>
    <cellStyle name="Hyperlink" xfId="1878" builtinId="8" hidden="1"/>
    <cellStyle name="Hyperlink" xfId="1634" builtinId="8" hidden="1"/>
    <cellStyle name="Hyperlink" xfId="1095" builtinId="8" hidden="1"/>
    <cellStyle name="Hyperlink" xfId="1187" builtinId="8" hidden="1"/>
    <cellStyle name="Hyperlink" xfId="1280" builtinId="8" hidden="1"/>
    <cellStyle name="Hyperlink" xfId="983" builtinId="8" hidden="1"/>
    <cellStyle name="Hyperlink" xfId="913" builtinId="8" hidden="1"/>
    <cellStyle name="Hyperlink" xfId="831" builtinId="8" hidden="1"/>
    <cellStyle name="Hyperlink" xfId="1240" builtinId="8" hidden="1"/>
    <cellStyle name="Hyperlink" xfId="1592" builtinId="8" hidden="1"/>
    <cellStyle name="Hyperlink" xfId="1640" builtinId="8" hidden="1"/>
    <cellStyle name="Hyperlink" xfId="1394" builtinId="8" hidden="1"/>
    <cellStyle name="Hyperlink" xfId="1254" builtinId="8" hidden="1"/>
    <cellStyle name="Hyperlink" xfId="21" builtinId="8" hidden="1"/>
    <cellStyle name="Hyperlink" xfId="329" builtinId="8" hidden="1"/>
    <cellStyle name="Hyperlink" xfId="1944" builtinId="8" hidden="1"/>
    <cellStyle name="Hyperlink" xfId="1694" builtinId="8" hidden="1"/>
    <cellStyle name="Hyperlink" xfId="1358" builtinId="8" hidden="1"/>
    <cellStyle name="Hyperlink" xfId="1109" builtinId="8" hidden="1"/>
    <cellStyle name="Hyperlink" xfId="373" builtinId="8" hidden="1"/>
    <cellStyle name="Hyperlink" xfId="455" builtinId="8" hidden="1"/>
    <cellStyle name="Hyperlink" xfId="539" builtinId="8" hidden="1"/>
    <cellStyle name="Hyperlink" xfId="623" builtinId="8" hidden="1"/>
    <cellStyle name="Hyperlink" xfId="1710" builtinId="8" hidden="1"/>
    <cellStyle name="Hyperlink" xfId="1810" builtinId="8" hidden="1"/>
    <cellStyle name="Hyperlink" xfId="1306" builtinId="8" hidden="1"/>
    <cellStyle name="Hyperlink" xfId="91" builtinId="8" hidden="1"/>
    <cellStyle name="Hyperlink" xfId="41" builtinId="8" hidden="1"/>
    <cellStyle name="Hyperlink" xfId="37" builtinId="8" hidden="1"/>
    <cellStyle name="Hyperlink" xfId="275" builtinId="8" hidden="1"/>
    <cellStyle name="Hyperlink" xfId="55" builtinId="8" hidden="1"/>
    <cellStyle name="Hyperlink" xfId="259" builtinId="8" hidden="1"/>
    <cellStyle name="Hyperlink" xfId="345" builtinId="8" hidden="1"/>
    <cellStyle name="Hyperlink" xfId="185" builtinId="8" hidden="1"/>
    <cellStyle name="Hyperlink" xfId="761" builtinId="8" hidden="1"/>
    <cellStyle name="Hyperlink" xfId="243" builtinId="8" hidden="1"/>
    <cellStyle name="Hyperlink" xfId="13" builtinId="8" hidden="1"/>
    <cellStyle name="Hyperlink" xfId="1472" builtinId="8" hidden="1"/>
    <cellStyle name="Hyperlink" xfId="1586" builtinId="8" hidden="1"/>
    <cellStyle name="Hyperlink" xfId="1966" builtinId="8" hidden="1"/>
    <cellStyle name="Hyperlink" xfId="407" builtinId="8" hidden="1"/>
    <cellStyle name="Hyperlink" xfId="887" builtinId="8" hidden="1"/>
    <cellStyle name="Hyperlink" xfId="1598" builtinId="8" hidden="1"/>
    <cellStyle name="Hyperlink" xfId="2400" builtinId="8" hidden="1"/>
    <cellStyle name="Hyperlink" xfId="2220" builtinId="8" hidden="1"/>
    <cellStyle name="Hyperlink" xfId="2412" builtinId="8" hidden="1"/>
    <cellStyle name="Hyperlink" xfId="725" builtinId="8" hidden="1"/>
    <cellStyle name="Hyperlink" xfId="1650" builtinId="8" hidden="1"/>
    <cellStyle name="Hyperlink" xfId="1360" builtinId="8" hidden="1"/>
    <cellStyle name="Hyperlink" xfId="1382" builtinId="8" hidden="1"/>
    <cellStyle name="Hyperlink" xfId="113" builtinId="8" hidden="1"/>
    <cellStyle name="Hyperlink" xfId="319" builtinId="8" hidden="1"/>
    <cellStyle name="Hyperlink" xfId="767" builtinId="8" hidden="1"/>
    <cellStyle name="Hyperlink" xfId="1686" builtinId="8" hidden="1"/>
    <cellStyle name="Hyperlink" xfId="1374" builtinId="8" hidden="1"/>
    <cellStyle name="Hyperlink" xfId="1085" builtinId="8" hidden="1"/>
    <cellStyle name="Hyperlink" xfId="367" builtinId="8" hidden="1"/>
    <cellStyle name="Hyperlink" xfId="451" builtinId="8" hidden="1"/>
    <cellStyle name="Hyperlink" xfId="537" builtinId="8" hidden="1"/>
    <cellStyle name="Hyperlink" xfId="619" builtinId="8" hidden="1"/>
    <cellStyle name="Hyperlink" xfId="1422" builtinId="8" hidden="1"/>
    <cellStyle name="Hyperlink" xfId="1674" builtinId="8" hidden="1"/>
    <cellStyle name="Hyperlink" xfId="979" builtinId="8" hidden="1"/>
    <cellStyle name="Hyperlink" xfId="891" builtinId="8" hidden="1"/>
    <cellStyle name="Hyperlink" xfId="851" builtinId="8" hidden="1"/>
    <cellStyle name="Hyperlink" xfId="1057" builtinId="8" hidden="1"/>
    <cellStyle name="Hyperlink" xfId="1067" builtinId="8" hidden="1"/>
    <cellStyle name="Hyperlink" xfId="1300" builtinId="8" hidden="1"/>
    <cellStyle name="Hyperlink" xfId="1153" builtinId="8" hidden="1"/>
    <cellStyle name="Hyperlink" xfId="1242" builtinId="8" hidden="1"/>
    <cellStyle name="Hyperlink" xfId="1698" builtinId="8" hidden="1"/>
    <cellStyle name="Hyperlink" xfId="1886" builtinId="8" hidden="1"/>
    <cellStyle name="Hyperlink" xfId="1854" builtinId="8" hidden="1"/>
    <cellStyle name="Hyperlink" xfId="1882" builtinId="8" hidden="1"/>
    <cellStyle name="Hyperlink" xfId="1914" builtinId="8" hidden="1"/>
    <cellStyle name="Hyperlink" xfId="1902" builtinId="8" hidden="1"/>
    <cellStyle name="Hyperlink" xfId="1073" builtinId="8" hidden="1"/>
    <cellStyle name="Hyperlink" xfId="1356" builtinId="8" hidden="1"/>
    <cellStyle name="Hyperlink" xfId="1570" builtinId="8" hidden="1"/>
    <cellStyle name="Hyperlink" xfId="1786" builtinId="8" hidden="1"/>
    <cellStyle name="Hyperlink" xfId="1288" builtinId="8" hidden="1"/>
    <cellStyle name="Hyperlink" xfId="1256" builtinId="8" hidden="1"/>
    <cellStyle name="Hyperlink" xfId="1232" builtinId="8" hidden="1"/>
    <cellStyle name="Hyperlink" xfId="1199" builtinId="8" hidden="1"/>
    <cellStyle name="Hyperlink" xfId="1167" builtinId="8" hidden="1"/>
    <cellStyle name="Hyperlink" xfId="1145" builtinId="8" hidden="1"/>
    <cellStyle name="Hyperlink" xfId="1119" builtinId="8" hidden="1"/>
    <cellStyle name="Hyperlink" xfId="1087" builtinId="8" hidden="1"/>
    <cellStyle name="Hyperlink" xfId="903" builtinId="8" hidden="1"/>
    <cellStyle name="Hyperlink" xfId="1898" builtinId="8" hidden="1"/>
    <cellStyle name="Hyperlink" xfId="1506" builtinId="8" hidden="1"/>
    <cellStyle name="Hyperlink" xfId="1113" builtinId="8" hidden="1"/>
    <cellStyle name="Hyperlink" xfId="1179" builtinId="8" hidden="1"/>
    <cellStyle name="Hyperlink" xfId="1274" builtinId="8" hidden="1"/>
    <cellStyle name="Hyperlink" xfId="977" builtinId="8" hidden="1"/>
    <cellStyle name="Hyperlink" xfId="883" builtinId="8" hidden="1"/>
    <cellStyle name="Hyperlink" xfId="847" builtinId="8" hidden="1"/>
    <cellStyle name="Hyperlink" xfId="841" builtinId="8" hidden="1"/>
    <cellStyle name="Hyperlink" xfId="857" builtinId="8" hidden="1"/>
    <cellStyle name="Hyperlink" xfId="911" builtinId="8" hidden="1"/>
    <cellStyle name="Hyperlink" xfId="881" builtinId="8" hidden="1"/>
    <cellStyle name="Hyperlink" xfId="1031" builtinId="8" hidden="1"/>
    <cellStyle name="Hyperlink" xfId="1001" builtinId="8" hidden="1"/>
    <cellStyle name="Hyperlink" xfId="971" builtinId="8" hidden="1"/>
    <cellStyle name="Hyperlink" xfId="947" builtinId="8" hidden="1"/>
    <cellStyle name="Hyperlink" xfId="1298" builtinId="8" hidden="1"/>
    <cellStyle name="Hyperlink" xfId="1418" builtinId="8" hidden="1"/>
    <cellStyle name="Hyperlink" xfId="335" builtinId="8" hidden="1"/>
    <cellStyle name="Hyperlink" xfId="1808" builtinId="8" hidden="1"/>
    <cellStyle name="Hyperlink" xfId="1149" builtinId="8" hidden="1"/>
    <cellStyle name="Hyperlink" xfId="449" builtinId="8" hidden="1"/>
    <cellStyle name="Hyperlink" xfId="641" builtinId="8" hidden="1"/>
    <cellStyle name="Hyperlink" xfId="613" builtinId="8" hidden="1"/>
    <cellStyle name="Hyperlink" xfId="585" builtinId="8" hidden="1"/>
    <cellStyle name="Hyperlink" xfId="549" builtinId="8" hidden="1"/>
    <cellStyle name="Hyperlink" xfId="529" builtinId="8" hidden="1"/>
    <cellStyle name="Hyperlink" xfId="501" builtinId="8" hidden="1"/>
    <cellStyle name="Hyperlink" xfId="467" builtinId="8" hidden="1"/>
    <cellStyle name="Hyperlink" xfId="1718" builtinId="8" hidden="1"/>
    <cellStyle name="Hyperlink" xfId="1706" builtinId="8" hidden="1"/>
    <cellStyle name="Hyperlink" xfId="1682" builtinId="8" hidden="1"/>
    <cellStyle name="Hyperlink" xfId="1644" builtinId="8" hidden="1"/>
    <cellStyle name="Hyperlink" xfId="1608" builtinId="8" hidden="1"/>
    <cellStyle name="Hyperlink" xfId="1572" builtinId="8" hidden="1"/>
    <cellStyle name="Hyperlink" xfId="1552" builtinId="8" hidden="1"/>
    <cellStyle name="Hyperlink" xfId="1532" builtinId="8" hidden="1"/>
    <cellStyle name="Hyperlink" xfId="1496" builtinId="8" hidden="1"/>
    <cellStyle name="Hyperlink" xfId="1476" builtinId="8" hidden="1"/>
    <cellStyle name="Hyperlink" xfId="1458" builtinId="8" hidden="1"/>
    <cellStyle name="Hyperlink" xfId="1402" builtinId="8" hidden="1"/>
    <cellStyle name="Hyperlink" xfId="1386" builtinId="8" hidden="1"/>
    <cellStyle name="Hyperlink" xfId="1348" builtinId="8" hidden="1"/>
    <cellStyle name="Hyperlink" xfId="1328" builtinId="8" hidden="1"/>
    <cellStyle name="Hyperlink" xfId="1312" builtinId="8" hidden="1"/>
    <cellStyle name="Hyperlink" xfId="2042" builtinId="8" hidden="1"/>
    <cellStyle name="Hyperlink" xfId="2094" builtinId="8" hidden="1"/>
    <cellStyle name="Hyperlink" xfId="2298" builtinId="8" hidden="1"/>
    <cellStyle name="Hyperlink" xfId="2350" builtinId="8" hidden="1"/>
    <cellStyle name="Hyperlink" xfId="2376" builtinId="8" hidden="1"/>
    <cellStyle name="Hyperlink" xfId="1992" builtinId="8" hidden="1"/>
    <cellStyle name="Hyperlink" xfId="1800" builtinId="8" hidden="1"/>
    <cellStyle name="Hyperlink" xfId="1606" builtinId="8" hidden="1"/>
    <cellStyle name="Hyperlink" xfId="1221" builtinId="8" hidden="1"/>
    <cellStyle name="Hyperlink" xfId="361" builtinId="8" hidden="1"/>
    <cellStyle name="Hyperlink" xfId="471" builtinId="8" hidden="1"/>
    <cellStyle name="Hyperlink" xfId="517" builtinId="8" hidden="1"/>
    <cellStyle name="Hyperlink" xfId="581" builtinId="8" hidden="1"/>
    <cellStyle name="Hyperlink" xfId="691" builtinId="8" hidden="1"/>
    <cellStyle name="Hyperlink" xfId="755" builtinId="8" hidden="1"/>
    <cellStyle name="Hyperlink" xfId="1862" builtinId="8" hidden="1"/>
    <cellStyle name="Hyperlink" xfId="1081" builtinId="8" hidden="1"/>
    <cellStyle name="Hyperlink" xfId="1139" builtinId="8" hidden="1"/>
    <cellStyle name="Hyperlink" xfId="1264" builtinId="8" hidden="1"/>
    <cellStyle name="Hyperlink" xfId="939" builtinId="8" hidden="1"/>
    <cellStyle name="Hyperlink" xfId="995" builtinId="8" hidden="1"/>
    <cellStyle name="Hyperlink" xfId="859" builtinId="8" hidden="1"/>
    <cellStyle name="Hyperlink" xfId="865" builtinId="8" hidden="1"/>
    <cellStyle name="Hyperlink" xfId="1932" builtinId="8" hidden="1"/>
    <cellStyle name="Hyperlink" xfId="1738" builtinId="8" hidden="1"/>
    <cellStyle name="Hyperlink" xfId="1540" builtinId="8" hidden="1"/>
    <cellStyle name="Hyperlink" xfId="2280" builtinId="8" hidden="1"/>
    <cellStyle name="Hyperlink" xfId="527" builtinId="8" hidden="1"/>
    <cellStyle name="Hyperlink" xfId="173" builtinId="8" hidden="1"/>
    <cellStyle name="Hyperlink" xfId="239" builtinId="8" hidden="1"/>
    <cellStyle name="Hyperlink" xfId="1792" builtinId="8" hidden="1"/>
    <cellStyle name="Hyperlink" xfId="1406" builtinId="8" hidden="1"/>
    <cellStyle name="Hyperlink" xfId="1205" builtinId="8" hidden="1"/>
    <cellStyle name="Hyperlink" xfId="1013" builtinId="8" hidden="1"/>
    <cellStyle name="Hyperlink" xfId="415" builtinId="8" hidden="1"/>
    <cellStyle name="Hyperlink" xfId="469" builtinId="8" hidden="1"/>
    <cellStyle name="Hyperlink" xfId="523" builtinId="8" hidden="1"/>
    <cellStyle name="Hyperlink" xfId="693" builtinId="8" hidden="1"/>
    <cellStyle name="Hyperlink" xfId="747" builtinId="8" hidden="1"/>
    <cellStyle name="Hyperlink" xfId="2230" builtinId="8" hidden="1"/>
    <cellStyle name="Hyperlink" xfId="2292" builtinId="8" hidden="1"/>
    <cellStyle name="Hyperlink" xfId="2356" builtinId="8" hidden="1"/>
    <cellStyle name="Hyperlink" xfId="2224" builtinId="8" hidden="1"/>
    <cellStyle name="Hyperlink" xfId="2040" builtinId="8" hidden="1"/>
    <cellStyle name="Hyperlink" xfId="2204" builtinId="8" hidden="1"/>
    <cellStyle name="Hyperlink" xfId="2034" builtinId="8" hidden="1"/>
    <cellStyle name="Hyperlink" xfId="1980" builtinId="8" hidden="1"/>
    <cellStyle name="Hyperlink" xfId="1962" builtinId="8" hidden="1"/>
    <cellStyle name="Hyperlink" xfId="1996" builtinId="8" hidden="1"/>
    <cellStyle name="Hyperlink" xfId="1974" builtinId="8" hidden="1"/>
    <cellStyle name="Hyperlink" xfId="2050" builtinId="8" hidden="1"/>
    <cellStyle name="Hyperlink" xfId="2012" builtinId="8" hidden="1"/>
    <cellStyle name="Hyperlink" xfId="2198" builtinId="8" hidden="1"/>
    <cellStyle name="Hyperlink" xfId="2178" builtinId="8" hidden="1"/>
    <cellStyle name="Hyperlink" xfId="2162" builtinId="8" hidden="1"/>
    <cellStyle name="Hyperlink" xfId="2122" builtinId="8" hidden="1"/>
    <cellStyle name="Hyperlink" xfId="2102" builtinId="8" hidden="1"/>
    <cellStyle name="Hyperlink" xfId="2082" builtinId="8" hidden="1"/>
    <cellStyle name="Hyperlink" xfId="2048" builtinId="8" hidden="1"/>
    <cellStyle name="Hyperlink" xfId="2112" builtinId="8" hidden="1"/>
    <cellStyle name="Hyperlink" xfId="2232" builtinId="8" hidden="1"/>
    <cellStyle name="Hyperlink" xfId="2296" builtinId="8" hidden="1"/>
    <cellStyle name="Hyperlink" xfId="2352" builtinId="8" hidden="1"/>
    <cellStyle name="Hyperlink" xfId="2390" builtinId="8" hidden="1"/>
    <cellStyle name="Hyperlink" xfId="2374" builtinId="8" hidden="1"/>
    <cellStyle name="Hyperlink" xfId="2314" builtinId="8" hidden="1"/>
    <cellStyle name="Hyperlink" xfId="2290" builtinId="8" hidden="1"/>
    <cellStyle name="Hyperlink" xfId="2270" builtinId="8" hidden="1"/>
    <cellStyle name="Hyperlink" xfId="2228" builtinId="8" hidden="1"/>
    <cellStyle name="Hyperlink" xfId="1566" builtinId="8" hidden="1"/>
    <cellStyle name="Hyperlink" xfId="1141" builtinId="8" hidden="1"/>
    <cellStyle name="Hyperlink" xfId="533" builtinId="8" hidden="1"/>
    <cellStyle name="Hyperlink" xfId="743" builtinId="8" hidden="1"/>
    <cellStyle name="Hyperlink" xfId="711" builtinId="8" hidden="1"/>
    <cellStyle name="Hyperlink" xfId="689" builtinId="8" hidden="1"/>
    <cellStyle name="Hyperlink" xfId="671" builtinId="8" hidden="1"/>
    <cellStyle name="Hyperlink" xfId="1860" builtinId="8" hidden="1"/>
    <cellStyle name="Hyperlink" xfId="1846" builtinId="8" hidden="1"/>
    <cellStyle name="Hyperlink" xfId="1822" builtinId="8" hidden="1"/>
    <cellStyle name="Hyperlink" xfId="1762" builtinId="8" hidden="1"/>
    <cellStyle name="Hyperlink" xfId="1750" builtinId="8" hidden="1"/>
    <cellStyle name="Hyperlink" xfId="1714" builtinId="8" hidden="1"/>
    <cellStyle name="Hyperlink" xfId="1700" builtinId="8" hidden="1"/>
    <cellStyle name="Hyperlink" xfId="1664" builtinId="8" hidden="1"/>
    <cellStyle name="Hyperlink" xfId="1626" builtinId="8" hidden="1"/>
    <cellStyle name="Hyperlink" xfId="1616" builtinId="8" hidden="1"/>
    <cellStyle name="Hyperlink" xfId="1564" builtinId="8" hidden="1"/>
    <cellStyle name="Hyperlink" xfId="1530" builtinId="8" hidden="1"/>
    <cellStyle name="Hyperlink" xfId="1516" builtinId="8" hidden="1"/>
    <cellStyle name="Hyperlink" xfId="1480" builtinId="8" hidden="1"/>
    <cellStyle name="Hyperlink" xfId="1468" builtinId="8" hidden="1"/>
    <cellStyle name="Hyperlink" xfId="1456" builtinId="8" hidden="1"/>
    <cellStyle name="Hyperlink" xfId="1408" builtinId="8" hidden="1"/>
    <cellStyle name="Hyperlink" xfId="1370" builtinId="8" hidden="1"/>
    <cellStyle name="Hyperlink" xfId="1332" builtinId="8" hidden="1"/>
    <cellStyle name="Hyperlink" xfId="1322" builtinId="8" hidden="1"/>
    <cellStyle name="Hyperlink" xfId="1308" builtinId="8" hidden="1"/>
    <cellStyle name="Hyperlink" xfId="2074" builtinId="8" hidden="1"/>
    <cellStyle name="Hyperlink" xfId="2158" builtinId="8" hidden="1"/>
    <cellStyle name="Hyperlink" xfId="2202" builtinId="8" hidden="1"/>
    <cellStyle name="Hyperlink" xfId="2372" builtinId="8" hidden="1"/>
    <cellStyle name="Hyperlink" xfId="2152" builtinId="8" hidden="1"/>
    <cellStyle name="Hyperlink" xfId="1896" builtinId="8" hidden="1"/>
    <cellStyle name="Hyperlink" xfId="1638" builtinId="8" hidden="1"/>
    <cellStyle name="Hyperlink" xfId="1510" builtinId="8" hidden="1"/>
    <cellStyle name="Hyperlink" xfId="1125" builtinId="8" hidden="1"/>
    <cellStyle name="Hyperlink" xfId="869" builtinId="8" hidden="1"/>
    <cellStyle name="Hyperlink" xfId="489" builtinId="8" hidden="1"/>
    <cellStyle name="Hyperlink" xfId="563" builtinId="8" hidden="1"/>
    <cellStyle name="Hyperlink" xfId="599" builtinId="8" hidden="1"/>
    <cellStyle name="Hyperlink" xfId="745" builtinId="8" hidden="1"/>
    <cellStyle name="Hyperlink" xfId="783" builtinId="8" hidden="1"/>
    <cellStyle name="Hyperlink" xfId="637" builtinId="8" hidden="1"/>
    <cellStyle name="Hyperlink" xfId="197" builtinId="8" hidden="1"/>
    <cellStyle name="Hyperlink" xfId="299" builtinId="8" hidden="1"/>
    <cellStyle name="Hyperlink" xfId="147" builtinId="8" hidden="1"/>
    <cellStyle name="Hyperlink" xfId="51" builtinId="8" hidden="1"/>
    <cellStyle name="Hyperlink" xfId="9" builtinId="8" hidden="1"/>
    <cellStyle name="Hyperlink" xfId="39" builtinId="8" hidden="1"/>
    <cellStyle name="Hyperlink" xfId="81" builtinId="8" hidden="1"/>
    <cellStyle name="Hyperlink" xfId="57" builtinId="8" hidden="1"/>
    <cellStyle name="Hyperlink" xfId="143" builtinId="8" hidden="1"/>
    <cellStyle name="Hyperlink" xfId="119" builtinId="8" hidden="1"/>
    <cellStyle name="Hyperlink" xfId="99" builtinId="8" hidden="1"/>
    <cellStyle name="Hyperlink" xfId="353" builtinId="8" hidden="1"/>
    <cellStyle name="Hyperlink" xfId="341" builtinId="8" hidden="1"/>
    <cellStyle name="Hyperlink" xfId="307" builtinId="8" hidden="1"/>
    <cellStyle name="Hyperlink" xfId="295" builtinId="8" hidden="1"/>
    <cellStyle name="Hyperlink" xfId="227" builtinId="8" hidden="1"/>
    <cellStyle name="Hyperlink" xfId="217" builtinId="8" hidden="1"/>
    <cellStyle name="Hyperlink" xfId="203" builtinId="8" hidden="1"/>
    <cellStyle name="Hyperlink" xfId="169" builtinId="8" hidden="1"/>
    <cellStyle name="Hyperlink" xfId="413" builtinId="8" hidden="1"/>
    <cellStyle name="Hyperlink" xfId="589" builtinId="8" hidden="1"/>
    <cellStyle name="Hyperlink" xfId="815" builtinId="8" hidden="1"/>
    <cellStyle name="Hyperlink" xfId="789" builtinId="8" hidden="1"/>
    <cellStyle name="Hyperlink" xfId="753" builtinId="8" hidden="1"/>
    <cellStyle name="Hyperlink" xfId="1952" builtinId="8" hidden="1"/>
    <cellStyle name="Hyperlink" xfId="1920" builtinId="8" hidden="1"/>
    <cellStyle name="Hyperlink" xfId="1880" builtinId="8" hidden="1"/>
    <cellStyle name="Hyperlink" xfId="1872" builtinId="8" hidden="1"/>
    <cellStyle name="Hyperlink" xfId="1856" builtinId="8" hidden="1"/>
    <cellStyle name="Hyperlink" xfId="1784" builtinId="8" hidden="1"/>
    <cellStyle name="Hyperlink" xfId="1776" builtinId="8" hidden="1"/>
    <cellStyle name="Hyperlink" xfId="1728" builtinId="8" hidden="1"/>
    <cellStyle name="Hyperlink" xfId="1720" builtinId="8" hidden="1"/>
    <cellStyle name="Hyperlink" xfId="1712" builtinId="8" hidden="1"/>
    <cellStyle name="Hyperlink" xfId="1662" builtinId="8" hidden="1"/>
    <cellStyle name="Hyperlink" xfId="1630" builtinId="8" hidden="1"/>
    <cellStyle name="Hyperlink" xfId="1590" builtinId="8" hidden="1"/>
    <cellStyle name="Hyperlink" xfId="1582" builtinId="8" hidden="1"/>
    <cellStyle name="Hyperlink" xfId="1558" builtinId="8" hidden="1"/>
    <cellStyle name="Hyperlink" xfId="1518" builtinId="8" hidden="1"/>
    <cellStyle name="Hyperlink" xfId="1494" builtinId="8" hidden="1"/>
    <cellStyle name="Hyperlink" xfId="1470" builtinId="8" hidden="1"/>
    <cellStyle name="Hyperlink" xfId="1438" builtinId="8" hidden="1"/>
    <cellStyle name="Hyperlink" xfId="1390" builtinId="8" hidden="1"/>
    <cellStyle name="Hyperlink" xfId="1366" builtinId="8" hidden="1"/>
    <cellStyle name="Hyperlink" xfId="1342" builtinId="8" hidden="1"/>
    <cellStyle name="Hyperlink" xfId="1334" builtinId="8" hidden="1"/>
    <cellStyle name="Hyperlink" xfId="1294" builtinId="8" hidden="1"/>
    <cellStyle name="Hyperlink" xfId="1270" builtinId="8" hidden="1"/>
    <cellStyle name="Hyperlink" xfId="1246" builtinId="8" hidden="1"/>
    <cellStyle name="Hyperlink" xfId="1197" builtinId="8" hidden="1"/>
    <cellStyle name="Hyperlink" xfId="1181" builtinId="8" hidden="1"/>
    <cellStyle name="Hyperlink" xfId="1133" builtinId="8" hidden="1"/>
    <cellStyle name="Hyperlink" xfId="1117" builtinId="8" hidden="1"/>
    <cellStyle name="Hyperlink" xfId="1101" builtinId="8" hidden="1"/>
    <cellStyle name="Hyperlink" xfId="1077" builtinId="8" hidden="1"/>
    <cellStyle name="Hyperlink" xfId="1045" builtinId="8" hidden="1"/>
    <cellStyle name="Hyperlink" xfId="989" builtinId="8" hidden="1"/>
    <cellStyle name="Hyperlink" xfId="981" builtinId="8" hidden="1"/>
    <cellStyle name="Hyperlink" xfId="949" builtinId="8" hidden="1"/>
    <cellStyle name="Hyperlink" xfId="925" builtinId="8" hidden="1"/>
    <cellStyle name="Hyperlink" xfId="909" builtinId="8" hidden="1"/>
    <cellStyle name="Hyperlink" xfId="877" builtinId="8" hidden="1"/>
    <cellStyle name="Hyperlink" xfId="845" builtinId="8" hidden="1"/>
    <cellStyle name="Hyperlink" xfId="359" builtinId="8" hidden="1"/>
    <cellStyle name="Hyperlink" xfId="369" builtinId="8" hidden="1"/>
    <cellStyle name="Hyperlink" xfId="377" builtinId="8" hidden="1"/>
    <cellStyle name="Hyperlink" xfId="383" builtinId="8" hidden="1"/>
    <cellStyle name="Hyperlink" xfId="393" builtinId="8" hidden="1"/>
    <cellStyle name="Hyperlink" xfId="395" builtinId="8" hidden="1"/>
    <cellStyle name="Hyperlink" xfId="403" builtinId="8" hidden="1"/>
    <cellStyle name="Hyperlink" xfId="421" builtinId="8" hidden="1"/>
    <cellStyle name="Hyperlink" xfId="423" builtinId="8" hidden="1"/>
    <cellStyle name="Hyperlink" xfId="433" builtinId="8" hidden="1"/>
    <cellStyle name="Hyperlink" xfId="439" builtinId="8" hidden="1"/>
    <cellStyle name="Hyperlink" xfId="447" builtinId="8" hidden="1"/>
    <cellStyle name="Hyperlink" xfId="457" builtinId="8" hidden="1"/>
    <cellStyle name="Hyperlink" xfId="465" builtinId="8" hidden="1"/>
    <cellStyle name="Hyperlink" xfId="419" builtinId="8" hidden="1"/>
    <cellStyle name="Hyperlink" xfId="829" builtinId="8" hidden="1"/>
    <cellStyle name="Hyperlink" xfId="1037" builtinId="8" hidden="1"/>
    <cellStyle name="Hyperlink" xfId="1213" builtinId="8" hidden="1"/>
    <cellStyle name="Hyperlink" xfId="1430" builtinId="8" hidden="1"/>
    <cellStyle name="Hyperlink" xfId="1622" builtinId="8" hidden="1"/>
    <cellStyle name="Hyperlink" xfId="1816" builtinId="8" hidden="1"/>
    <cellStyle name="Hyperlink" xfId="803" builtinId="8" hidden="1"/>
    <cellStyle name="Hyperlink" xfId="273" builtinId="8" hidden="1"/>
    <cellStyle name="Hyperlink" xfId="153" builtinId="8" hidden="1"/>
    <cellStyle name="Hyperlink" xfId="265" builtinId="8" hidden="1"/>
    <cellStyle name="Hyperlink" xfId="417" builtinId="8" hidden="1"/>
    <cellStyle name="Hyperlink" xfId="2330" builtinId="8" hidden="1"/>
    <cellStyle name="Hyperlink" xfId="1384" builtinId="8" hidden="1"/>
    <cellStyle name="Hyperlink" xfId="1602" builtinId="8" hidden="1"/>
    <cellStyle name="Hyperlink" xfId="1774" builtinId="8" hidden="1"/>
    <cellStyle name="Hyperlink" xfId="657" builtinId="8" hidden="1"/>
    <cellStyle name="Hyperlink" xfId="2348" builtinId="8" hidden="1"/>
    <cellStyle name="Hyperlink" xfId="1984" builtinId="8" hidden="1"/>
    <cellStyle name="Hyperlink" xfId="2028" builtinId="8" hidden="1"/>
    <cellStyle name="Hyperlink" xfId="2086" builtinId="8" hidden="1"/>
    <cellStyle name="Hyperlink" xfId="639" builtinId="8" hidden="1"/>
    <cellStyle name="Hyperlink" xfId="777" builtinId="8" hidden="1"/>
    <cellStyle name="Hyperlink" xfId="945" builtinId="8" hidden="1"/>
    <cellStyle name="Hyperlink" xfId="1528" builtinId="8" hidden="1"/>
    <cellStyle name="Hyperlink" xfId="1029" builtinId="8" hidden="1"/>
    <cellStyle name="Hyperlink" xfId="2170" builtinId="8" hidden="1"/>
    <cellStyle name="Hyperlink" xfId="1424" builtinId="8" hidden="1"/>
    <cellStyle name="Hyperlink" xfId="1624" builtinId="8" hidden="1"/>
    <cellStyle name="Hyperlink" xfId="765" builtinId="8" hidden="1"/>
    <cellStyle name="Hyperlink" xfId="809" builtinId="8" hidden="1"/>
    <cellStyle name="Hyperlink" xfId="791" builtinId="8" hidden="1"/>
    <cellStyle name="Hyperlink" xfId="7" builtinId="8" hidden="1"/>
    <cellStyle name="Hyperlink" xfId="355" builtinId="8" hidden="1"/>
    <cellStyle name="Hyperlink" xfId="187" builtinId="8" hidden="1"/>
    <cellStyle name="Hyperlink" xfId="191" builtinId="8" hidden="1"/>
    <cellStyle name="Hyperlink" xfId="201" builtinId="8" hidden="1"/>
    <cellStyle name="Hyperlink" xfId="209" builtinId="8" hidden="1"/>
    <cellStyle name="Hyperlink" xfId="213" builtinId="8" hidden="1"/>
    <cellStyle name="Hyperlink" xfId="221" builtinId="8" hidden="1"/>
    <cellStyle name="Hyperlink" xfId="229" builtinId="8" hidden="1"/>
    <cellStyle name="Hyperlink" xfId="233" builtinId="8" hidden="1"/>
    <cellStyle name="Hyperlink" xfId="245" builtinId="8" hidden="1"/>
    <cellStyle name="Hyperlink" xfId="247" builtinId="8" hidden="1"/>
    <cellStyle name="Hyperlink" xfId="253" builtinId="8" hidden="1"/>
    <cellStyle name="Hyperlink" xfId="263" builtinId="8" hidden="1"/>
    <cellStyle name="Hyperlink" xfId="267" builtinId="8" hidden="1"/>
    <cellStyle name="Hyperlink" xfId="281" builtinId="8" hidden="1"/>
    <cellStyle name="Hyperlink" xfId="289" builtinId="8" hidden="1"/>
    <cellStyle name="Hyperlink" xfId="297" builtinId="8" hidden="1"/>
    <cellStyle name="Hyperlink" xfId="311" builtinId="8" hidden="1"/>
    <cellStyle name="Hyperlink" xfId="313" builtinId="8" hidden="1"/>
    <cellStyle name="Hyperlink" xfId="315" builtinId="8" hidden="1"/>
    <cellStyle name="Hyperlink" xfId="327" builtinId="8" hidden="1"/>
    <cellStyle name="Hyperlink" xfId="331" builtinId="8" hidden="1"/>
    <cellStyle name="Hyperlink" xfId="339" builtinId="8" hidden="1"/>
    <cellStyle name="Hyperlink" xfId="293" builtinId="8" hidden="1"/>
    <cellStyle name="Hyperlink" xfId="781" builtinId="8" hidden="1"/>
    <cellStyle name="Hyperlink" xfId="733" builtinId="8" hidden="1"/>
    <cellStyle name="Hyperlink" xfId="653" builtinId="8" hidden="1"/>
    <cellStyle name="Hyperlink" xfId="621" builtinId="8" hidden="1"/>
    <cellStyle name="Hyperlink" xfId="605" builtinId="8" hidden="1"/>
    <cellStyle name="Hyperlink" xfId="477" builtinId="8" hidden="1"/>
    <cellStyle name="Hyperlink" xfId="429" builtinId="8" hidden="1"/>
    <cellStyle name="Hyperlink" xfId="365" builtinId="8" hidden="1"/>
    <cellStyle name="Hyperlink" xfId="177" builtinId="8" hidden="1"/>
    <cellStyle name="Hyperlink" xfId="179" builtinId="8" hidden="1"/>
    <cellStyle name="Hyperlink" xfId="793" builtinId="8" hidden="1"/>
    <cellStyle name="Hyperlink" xfId="795" builtinId="8" hidden="1"/>
    <cellStyle name="Hyperlink" xfId="799" builtinId="8" hidden="1"/>
    <cellStyle name="Hyperlink" xfId="811" builtinId="8" hidden="1"/>
    <cellStyle name="Hyperlink" xfId="817" builtinId="8" hidden="1"/>
    <cellStyle name="Hyperlink" xfId="823" builtinId="8" hidden="1"/>
    <cellStyle name="Hyperlink" xfId="771" builtinId="8" hidden="1"/>
    <cellStyle name="Hyperlink" xfId="779" builtinId="8" hidden="1"/>
    <cellStyle name="Hyperlink" xfId="785" builtinId="8" hidden="1"/>
    <cellStyle name="Hyperlink" xfId="769" builtinId="8" hidden="1"/>
    <cellStyle name="Hyperlink" xfId="757" builtinId="8" hidden="1"/>
    <cellStyle name="Hyperlink" xfId="775" builtinId="8" hidden="1"/>
    <cellStyle name="Hyperlink" xfId="821" builtinId="8" hidden="1"/>
    <cellStyle name="Hyperlink" xfId="805" builtinId="8" hidden="1"/>
    <cellStyle name="Hyperlink" xfId="167" builtinId="8" hidden="1"/>
    <cellStyle name="Hyperlink" xfId="461" builtinId="8" hidden="1"/>
    <cellStyle name="Hyperlink" xfId="557" builtinId="8" hidden="1"/>
    <cellStyle name="Hyperlink" xfId="797" builtinId="8" hidden="1"/>
    <cellStyle name="Hyperlink" xfId="337" builtinId="8" hidden="1"/>
    <cellStyle name="Hyperlink" xfId="321" builtinId="8" hidden="1"/>
    <cellStyle name="Hyperlink" xfId="287" builtinId="8" hidden="1"/>
    <cellStyle name="Hyperlink" xfId="271" builtinId="8" hidden="1"/>
    <cellStyle name="Hyperlink" xfId="255" builtinId="8" hidden="1"/>
    <cellStyle name="Hyperlink" xfId="225" builtinId="8" hidden="1"/>
    <cellStyle name="Hyperlink" xfId="211" builtinId="8" hidden="1"/>
    <cellStyle name="Hyperlink" xfId="207" builtinId="8" hidden="1"/>
    <cellStyle name="Hyperlink" xfId="827" builtinId="8" hidden="1"/>
    <cellStyle name="Hyperlink" xfId="509" builtinId="8" hidden="1"/>
    <cellStyle name="Hyperlink" xfId="249" builtinId="8" hidden="1"/>
    <cellStyle name="Hyperlink" xfId="291" builtinId="8" hidden="1"/>
    <cellStyle name="Hyperlink" xfId="343" builtinId="8" hidden="1"/>
    <cellStyle name="Hyperlink" xfId="155" builtinId="8" hidden="1"/>
    <cellStyle name="Hyperlink" xfId="67" builtinId="8" hidden="1"/>
    <cellStyle name="Hyperlink" xfId="15" builtinId="8" hidden="1"/>
    <cellStyle name="Hyperlink" xfId="31" builtinId="8" hidden="1"/>
    <cellStyle name="Hyperlink" xfId="79" builtinId="8" hidden="1"/>
    <cellStyle name="Hyperlink" xfId="63" builtinId="8" hidden="1"/>
    <cellStyle name="Hyperlink" xfId="159" builtinId="8" hidden="1"/>
    <cellStyle name="Hyperlink" xfId="145" builtinId="8" hidden="1"/>
    <cellStyle name="Hyperlink" xfId="127" builtinId="8" hidden="1"/>
    <cellStyle name="Hyperlink" xfId="83" builtinId="8" hidden="1"/>
    <cellStyle name="Hyperlink" xfId="349" builtinId="8" hidden="1"/>
    <cellStyle name="Hyperlink" xfId="1542" builtinId="8" hidden="1"/>
    <cellStyle name="Hyperlink" xfId="2254" builtinId="8" hidden="1"/>
    <cellStyle name="Hyperlink" xfId="1340" builtinId="8" hidden="1"/>
    <cellStyle name="Hyperlink" xfId="1600" builtinId="8" hidden="1"/>
    <cellStyle name="Hyperlink" xfId="1732" builtinId="8" hidden="1"/>
    <cellStyle name="Hyperlink" xfId="1834" builtinId="8" hidden="1"/>
    <cellStyle name="Hyperlink" xfId="1794" builtinId="8" hidden="1"/>
    <cellStyle name="Hyperlink" xfId="1778" builtinId="8" hidden="1"/>
    <cellStyle name="Hyperlink" xfId="1756" builtinId="8" hidden="1"/>
    <cellStyle name="Hyperlink" xfId="95" builtinId="8" hidden="1"/>
    <cellStyle name="Hyperlink" xfId="195" builtinId="8" hidden="1"/>
    <cellStyle name="Hyperlink" xfId="759" builtinId="8" hidden="1"/>
    <cellStyle name="Hyperlink" xfId="525" builtinId="8" hidden="1"/>
    <cellStyle name="Hyperlink" xfId="277" builtinId="8" hidden="1"/>
    <cellStyle name="Hyperlink" xfId="97" builtinId="8" hidden="1"/>
    <cellStyle name="Hyperlink" xfId="101" builtinId="8" hidden="1"/>
    <cellStyle name="Hyperlink" xfId="103" builtinId="8" hidden="1"/>
    <cellStyle name="Hyperlink" xfId="115" builtinId="8" hidden="1"/>
    <cellStyle name="Hyperlink" xfId="117" builtinId="8" hidden="1"/>
    <cellStyle name="Hyperlink" xfId="123" builtinId="8" hidden="1"/>
    <cellStyle name="Hyperlink" xfId="135" builtinId="8" hidden="1"/>
    <cellStyle name="Hyperlink" xfId="139" builtinId="8" hidden="1"/>
    <cellStyle name="Hyperlink" xfId="149" builtinId="8" hidden="1"/>
    <cellStyle name="Hyperlink" xfId="157" builtinId="8" hidden="1"/>
    <cellStyle name="Hyperlink" xfId="161" builtinId="8" hidden="1"/>
    <cellStyle name="Hyperlink" xfId="141" builtinId="8" hidden="1"/>
    <cellStyle name="Hyperlink" xfId="49" builtinId="8" hidden="1"/>
    <cellStyle name="Hyperlink" xfId="53" builtinId="8" hidden="1"/>
    <cellStyle name="Hyperlink" xfId="61" builtinId="8" hidden="1"/>
    <cellStyle name="Hyperlink" xfId="71" builtinId="8" hidden="1"/>
    <cellStyle name="Hyperlink" xfId="73" builtinId="8" hidden="1"/>
    <cellStyle name="Hyperlink" xfId="77" builtinId="8" hidden="1"/>
    <cellStyle name="Hyperlink" xfId="25" builtinId="8" hidden="1"/>
    <cellStyle name="Hyperlink" xfId="33" builtinId="8" hidden="1"/>
    <cellStyle name="Hyperlink" xfId="35" builtinId="8" hidden="1"/>
    <cellStyle name="Hyperlink" xfId="17" builtinId="8" hidden="1"/>
    <cellStyle name="Hyperlink" xfId="5" builtinId="8" hidden="1"/>
    <cellStyle name="Hyperlink" xfId="3" builtinId="8" hidden="1"/>
    <cellStyle name="Hyperlink" xfId="29" builtinId="8" hidden="1"/>
    <cellStyle name="Hyperlink" xfId="75" builtinId="8" hidden="1"/>
    <cellStyle name="Hyperlink" xfId="59" builtinId="8" hidden="1"/>
    <cellStyle name="Hyperlink" xfId="163" builtinId="8" hidden="1"/>
    <cellStyle name="Hyperlink" xfId="137" builtinId="8" hidden="1"/>
    <cellStyle name="Hyperlink" xfId="129" builtinId="8" hidden="1"/>
    <cellStyle name="Hyperlink" xfId="301" builtinId="8" hidden="1"/>
    <cellStyle name="Hyperlink" xfId="351" builtinId="8" hidden="1"/>
    <cellStyle name="Hyperlink" xfId="317" builtinId="8" hidden="1"/>
    <cellStyle name="Hyperlink" xfId="309" builtinId="8" hidden="1"/>
    <cellStyle name="Hyperlink" xfId="283" builtinId="8" hidden="1"/>
    <cellStyle name="Hyperlink" xfId="257" builtinId="8" hidden="1"/>
    <cellStyle name="Hyperlink" xfId="241" builtinId="8" hidden="1"/>
    <cellStyle name="Hyperlink" xfId="223" builtinId="8" hidden="1"/>
    <cellStyle name="Hyperlink" xfId="181" builtinId="8" hidden="1"/>
    <cellStyle name="Hyperlink" xfId="171" builtinId="8" hidden="1"/>
    <cellStyle name="Hyperlink" xfId="445" builtinId="8" hidden="1"/>
    <cellStyle name="Hyperlink" xfId="701" builtinId="8" hidden="1"/>
    <cellStyle name="Hyperlink" xfId="89" builtinId="8" hidden="1"/>
    <cellStyle name="Hyperlink" xfId="1766" builtinId="8" hidden="1"/>
    <cellStyle name="Hyperlink" xfId="1696" builtinId="8" hidden="1"/>
    <cellStyle name="Hyperlink" xfId="1632" builtinId="8" hidden="1"/>
    <cellStyle name="Hyperlink" xfId="1568" builtinId="8" hidden="1"/>
    <cellStyle name="Hyperlink" xfId="1536" builtinId="8" hidden="1"/>
    <cellStyle name="Hyperlink" xfId="1436" builtinId="8" hidden="1"/>
    <cellStyle name="Hyperlink" xfId="1404" builtinId="8" hidden="1"/>
    <cellStyle name="Hyperlink" xfId="1372" builtinId="8" hidden="1"/>
    <cellStyle name="Hyperlink" xfId="2020" builtinId="8" hidden="1"/>
    <cellStyle name="Hyperlink" xfId="2138" builtinId="8" hidden="1"/>
    <cellStyle name="Hyperlink" xfId="2362" builtinId="8" hidden="1"/>
    <cellStyle name="Hyperlink" xfId="1864" builtinId="8" hidden="1"/>
    <cellStyle name="Hyperlink" xfId="1189" builtinId="8" hidden="1"/>
    <cellStyle name="Hyperlink" xfId="837" builtinId="8" hidden="1"/>
    <cellStyle name="Hyperlink" xfId="645" builtinId="8" hidden="1"/>
    <cellStyle name="Hyperlink" xfId="737" builtinId="8" hidden="1"/>
    <cellStyle name="Hyperlink" xfId="347" builtinId="8" hidden="1"/>
    <cellStyle name="Hyperlink" xfId="269" builtinId="8" hidden="1"/>
    <cellStyle name="Hyperlink" xfId="85" builtinId="8" hidden="1"/>
    <cellStyle name="Hyperlink" xfId="93" builtinId="8" hidden="1"/>
    <cellStyle name="Hyperlink" xfId="205" builtinId="8" hidden="1"/>
    <cellStyle name="Hyperlink" xfId="1770" builtinId="8" hidden="1"/>
    <cellStyle name="Hyperlink" xfId="1772" builtinId="8" hidden="1"/>
    <cellStyle name="Hyperlink" xfId="1780" builtinId="8" hidden="1"/>
    <cellStyle name="Hyperlink" xfId="1790" builtinId="8" hidden="1"/>
    <cellStyle name="Hyperlink" xfId="1802" builtinId="8" hidden="1"/>
    <cellStyle name="Hyperlink" xfId="1804" builtinId="8" hidden="1"/>
    <cellStyle name="Hyperlink" xfId="1818" builtinId="8" hidden="1"/>
    <cellStyle name="Hyperlink" xfId="1820" builtinId="8" hidden="1"/>
    <cellStyle name="Hyperlink" xfId="1826" builtinId="8" hidden="1"/>
    <cellStyle name="Hyperlink" xfId="1796" builtinId="8" hidden="1"/>
    <cellStyle name="Hyperlink" xfId="1724" builtinId="8" hidden="1"/>
    <cellStyle name="Hyperlink" xfId="1730" builtinId="8" hidden="1"/>
    <cellStyle name="Hyperlink" xfId="1746" builtinId="8" hidden="1"/>
    <cellStyle name="Hyperlink" xfId="1748" builtinId="8" hidden="1"/>
    <cellStyle name="Hyperlink" xfId="1754" builtinId="8" hidden="1"/>
    <cellStyle name="Hyperlink" xfId="1708" builtinId="8" hidden="1"/>
    <cellStyle name="Hyperlink" xfId="1716" builtinId="8" hidden="1"/>
    <cellStyle name="Hyperlink" xfId="1692" builtinId="8" hidden="1"/>
    <cellStyle name="Hyperlink" xfId="1690" builtinId="8" hidden="1"/>
    <cellStyle name="Normal" xfId="0" builtinId="0"/>
    <cellStyle name="Normal 17" xfId="1702" xr:uid="{00000000-0005-0000-0000-000069090000}"/>
    <cellStyle name="Normal 2" xfId="1" xr:uid="{00000000-0005-0000-0000-00006A090000}"/>
    <cellStyle name="Normal 2 2" xfId="2" xr:uid="{00000000-0005-0000-0000-00006B090000}"/>
    <cellStyle name="Normal 3" xfId="1703" xr:uid="{00000000-0005-0000-0000-00006C090000}"/>
    <cellStyle name="Normal 4" xfId="1223" xr:uid="{00000000-0005-0000-0000-00006D090000}"/>
  </cellStyles>
  <dxfs count="339"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9.9948118533890809E-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 patternType="solid">
          <fgColor indexed="64"/>
          <bgColor rgb="FFFFFF00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theme="3" tint="0.7999816888943144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  <dxf>
      <fill>
        <patternFill patternType="solid">
          <bgColor theme="2" tint="-0.499984740745262"/>
        </patternFill>
      </fill>
    </dxf>
    <dxf>
      <fill>
        <patternFill>
          <bgColor theme="2" tint="-0.499984740745262"/>
        </patternFill>
      </fill>
    </dxf>
  </dxfs>
  <tableStyles count="0" defaultTableStyle="TableStyleMedium9" defaultPivotStyle="PivotStyleLight16"/>
  <colors>
    <mruColors>
      <color rgb="FF99FF99"/>
      <color rgb="FF00FFFF"/>
      <color rgb="FF99FFCC"/>
      <color rgb="FFFFFF99"/>
      <color rgb="FFFF3300"/>
      <color rgb="FFFFCCCC"/>
      <color rgb="FFCCFF99"/>
      <color rgb="FFCCFF33"/>
      <color rgb="FFFF66FF"/>
      <color rgb="FFD9979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50800</xdr:colOff>
          <xdr:row>0</xdr:row>
          <xdr:rowOff>88900</xdr:rowOff>
        </xdr:from>
        <xdr:to>
          <xdr:col>1</xdr:col>
          <xdr:colOff>609600</xdr:colOff>
          <xdr:row>3</xdr:row>
          <xdr:rowOff>101600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Generate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New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9</xdr:row>
          <xdr:rowOff>101600</xdr:rowOff>
        </xdr:from>
        <xdr:to>
          <xdr:col>1</xdr:col>
          <xdr:colOff>622300</xdr:colOff>
          <xdr:row>12</xdr:row>
          <xdr:rowOff>127000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Select Schedule Range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2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RecoveredExternalLink6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y_Schedule"/>
      <sheetName val="Assignment Dropdown_List"/>
      <sheetName val="CHEAT_SHEETS"/>
      <sheetName val="DynamicValues"/>
      <sheetName val="Assignment_Counter"/>
      <sheetName val="May_Station_Assignment"/>
      <sheetName val="Assignment_Counter blank"/>
      <sheetName val="CHEAT_SHEETS_Summary)"/>
      <sheetName val="Schedule SummaryJune"/>
      <sheetName val="CHEAT_SHEETS_Printable "/>
      <sheetName val="Schedule_Checker"/>
      <sheetName val="Schedule"/>
      <sheetName val="June_Station_Assignment"/>
      <sheetName val=" Shift Schedules_A"/>
      <sheetName val="Assignment_Counter_"/>
      <sheetName val=" Shift Schedules"/>
      <sheetName val="Schedule Summary"/>
      <sheetName val="Form_Log"/>
      <sheetName val="Hours"/>
      <sheetName val=" Shift With_ E.AUD"/>
    </sheetNames>
    <sheetDataSet>
      <sheetData sheetId="0">
        <row r="3">
          <cell r="B3">
            <v>1</v>
          </cell>
        </row>
      </sheetData>
      <sheetData sheetId="1">
        <row r="2">
          <cell r="A2" t="str">
            <v>Stations</v>
          </cell>
        </row>
        <row r="3">
          <cell r="A3">
            <v>0</v>
          </cell>
          <cell r="G3">
            <v>0</v>
          </cell>
        </row>
        <row r="4">
          <cell r="A4">
            <v>1</v>
          </cell>
          <cell r="G4">
            <v>1</v>
          </cell>
        </row>
        <row r="5">
          <cell r="A5">
            <v>2</v>
          </cell>
          <cell r="G5">
            <v>2</v>
          </cell>
        </row>
        <row r="6">
          <cell r="A6">
            <v>3</v>
          </cell>
          <cell r="G6">
            <v>3</v>
          </cell>
        </row>
        <row r="7">
          <cell r="A7">
            <v>4</v>
          </cell>
          <cell r="G7">
            <v>4</v>
          </cell>
        </row>
        <row r="8">
          <cell r="A8">
            <v>5</v>
          </cell>
          <cell r="G8">
            <v>5</v>
          </cell>
        </row>
        <row r="9">
          <cell r="A9">
            <v>6</v>
          </cell>
          <cell r="G9">
            <v>6</v>
          </cell>
        </row>
        <row r="10">
          <cell r="A10">
            <v>7</v>
          </cell>
          <cell r="G10">
            <v>7</v>
          </cell>
        </row>
        <row r="11">
          <cell r="A11">
            <v>8</v>
          </cell>
          <cell r="G11">
            <v>8</v>
          </cell>
        </row>
        <row r="12">
          <cell r="A12">
            <v>9</v>
          </cell>
          <cell r="G12">
            <v>9</v>
          </cell>
        </row>
        <row r="13">
          <cell r="A13">
            <v>10</v>
          </cell>
          <cell r="G13">
            <v>10</v>
          </cell>
        </row>
        <row r="14">
          <cell r="A14">
            <v>11</v>
          </cell>
          <cell r="G14">
            <v>11</v>
          </cell>
        </row>
        <row r="15">
          <cell r="A15">
            <v>12</v>
          </cell>
          <cell r="G15">
            <v>12</v>
          </cell>
        </row>
        <row r="16">
          <cell r="A16">
            <v>13</v>
          </cell>
          <cell r="G16">
            <v>13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2">
          <cell r="A2" t="str">
            <v>Stations</v>
          </cell>
        </row>
      </sheetData>
      <sheetData sheetId="12"/>
      <sheetData sheetId="13"/>
      <sheetData sheetId="14"/>
      <sheetData sheetId="15"/>
      <sheetData sheetId="16"/>
      <sheetData sheetId="17"/>
      <sheetData sheetId="18" refreshError="1"/>
      <sheetData sheetId="1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uly"/>
      <sheetName val="Sheet2"/>
      <sheetName val="Sheet3"/>
      <sheetName val="July (2)"/>
    </sheetNames>
    <sheetDataSet>
      <sheetData sheetId="0" refreshError="1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T21"/>
  <sheetViews>
    <sheetView tabSelected="1" zoomScale="109" zoomScaleNormal="100" zoomScalePageLayoutView="125" workbookViewId="0">
      <selection activeCell="Q23" sqref="Q23"/>
    </sheetView>
  </sheetViews>
  <sheetFormatPr baseColWidth="10" defaultColWidth="8.83203125" defaultRowHeight="15" x14ac:dyDescent="0.2"/>
  <cols>
    <col min="1" max="1" width="14" style="91" bestFit="1" customWidth="1"/>
    <col min="2" max="2" width="8.83203125" style="91"/>
    <col min="3" max="3" width="9.83203125" customWidth="1"/>
    <col min="4" max="4" width="15" customWidth="1"/>
    <col min="5" max="32" width="3.5" style="81" customWidth="1"/>
    <col min="33" max="33" width="3.6640625" style="81" customWidth="1"/>
    <col min="34" max="38" width="3.5" style="81" customWidth="1"/>
    <col min="39" max="39" width="10.1640625" style="81" customWidth="1"/>
    <col min="40" max="40" width="4.33203125" style="81" customWidth="1"/>
    <col min="41" max="41" width="4.33203125" style="138" customWidth="1"/>
    <col min="42" max="42" width="3.6640625" style="14" customWidth="1"/>
    <col min="43" max="43" width="25.5" style="14" customWidth="1"/>
    <col min="46" max="46" width="20.1640625" customWidth="1"/>
  </cols>
  <sheetData>
    <row r="1" spans="1:46" ht="14.25" customHeight="1" x14ac:dyDescent="0.2">
      <c r="A1" s="177"/>
      <c r="B1" s="178"/>
      <c r="C1" s="145">
        <v>42946</v>
      </c>
      <c r="D1" s="146">
        <v>42975</v>
      </c>
      <c r="E1" s="140" t="s">
        <v>94</v>
      </c>
      <c r="F1" s="140" t="s">
        <v>0</v>
      </c>
      <c r="G1" s="141" t="s">
        <v>1</v>
      </c>
      <c r="H1" s="141" t="s">
        <v>1</v>
      </c>
      <c r="I1" s="140" t="s">
        <v>2</v>
      </c>
      <c r="J1" s="140" t="s">
        <v>3</v>
      </c>
      <c r="K1" s="140" t="s">
        <v>4</v>
      </c>
      <c r="L1" s="140" t="s">
        <v>94</v>
      </c>
      <c r="M1" s="140" t="s">
        <v>0</v>
      </c>
      <c r="N1" s="141" t="s">
        <v>1</v>
      </c>
      <c r="O1" s="141" t="s">
        <v>1</v>
      </c>
      <c r="P1" s="140" t="s">
        <v>2</v>
      </c>
      <c r="Q1" s="140" t="s">
        <v>3</v>
      </c>
      <c r="R1" s="140" t="s">
        <v>4</v>
      </c>
      <c r="S1" s="140" t="s">
        <v>94</v>
      </c>
      <c r="T1" s="140" t="s">
        <v>0</v>
      </c>
      <c r="U1" s="141" t="s">
        <v>1</v>
      </c>
      <c r="V1" s="141" t="s">
        <v>1</v>
      </c>
      <c r="W1" s="140" t="s">
        <v>2</v>
      </c>
      <c r="X1" s="140" t="s">
        <v>3</v>
      </c>
      <c r="Y1" s="140" t="s">
        <v>4</v>
      </c>
      <c r="Z1" s="140" t="s">
        <v>94</v>
      </c>
      <c r="AA1" s="140" t="s">
        <v>0</v>
      </c>
      <c r="AB1" s="141" t="s">
        <v>1</v>
      </c>
      <c r="AC1" s="141" t="s">
        <v>1</v>
      </c>
      <c r="AD1" s="140" t="s">
        <v>2</v>
      </c>
      <c r="AE1" s="140" t="s">
        <v>3</v>
      </c>
      <c r="AF1" s="140" t="s">
        <v>4</v>
      </c>
      <c r="AG1" s="140" t="s">
        <v>94</v>
      </c>
      <c r="AH1" s="140" t="s">
        <v>0</v>
      </c>
      <c r="AI1" s="141" t="s">
        <v>1</v>
      </c>
      <c r="AJ1" s="141" t="s">
        <v>1</v>
      </c>
      <c r="AK1" s="140" t="s">
        <v>2</v>
      </c>
      <c r="AL1" s="140" t="s">
        <v>3</v>
      </c>
      <c r="AM1" s="142"/>
      <c r="AN1" s="142"/>
      <c r="AO1" s="139"/>
      <c r="AP1" s="142"/>
      <c r="AQ1" s="142"/>
    </row>
    <row r="2" spans="1:46" ht="18.75" customHeight="1" thickBot="1" x14ac:dyDescent="0.25">
      <c r="A2" s="179"/>
      <c r="B2" s="180"/>
      <c r="C2" s="175" t="s">
        <v>95</v>
      </c>
      <c r="D2" s="176"/>
      <c r="E2" s="144">
        <v>27</v>
      </c>
      <c r="F2" s="79">
        <v>28</v>
      </c>
      <c r="G2" s="80">
        <v>29</v>
      </c>
      <c r="H2" s="80">
        <v>30</v>
      </c>
      <c r="I2" s="79">
        <v>31</v>
      </c>
      <c r="J2" s="79">
        <v>1</v>
      </c>
      <c r="K2" s="79">
        <f t="shared" ref="K2" si="0">J2+1</f>
        <v>2</v>
      </c>
      <c r="L2" s="79">
        <f t="shared" ref="L2:M2" si="1">K2+1</f>
        <v>3</v>
      </c>
      <c r="M2" s="79">
        <f t="shared" si="1"/>
        <v>4</v>
      </c>
      <c r="N2" s="79">
        <f t="shared" ref="N2" si="2">M2+1</f>
        <v>5</v>
      </c>
      <c r="O2" s="79">
        <f t="shared" ref="O2" si="3">N2+1</f>
        <v>6</v>
      </c>
      <c r="P2" s="79">
        <f t="shared" ref="P2" si="4">O2+1</f>
        <v>7</v>
      </c>
      <c r="Q2" s="79">
        <f t="shared" ref="Q2" si="5">P2+1</f>
        <v>8</v>
      </c>
      <c r="R2" s="79">
        <f t="shared" ref="R2" si="6">Q2+1</f>
        <v>9</v>
      </c>
      <c r="S2" s="79">
        <f t="shared" ref="S2" si="7">R2+1</f>
        <v>10</v>
      </c>
      <c r="T2" s="79">
        <f t="shared" ref="T2" si="8">S2+1</f>
        <v>11</v>
      </c>
      <c r="U2" s="79">
        <f t="shared" ref="U2" si="9">T2+1</f>
        <v>12</v>
      </c>
      <c r="V2" s="79">
        <f t="shared" ref="V2" si="10">U2+1</f>
        <v>13</v>
      </c>
      <c r="W2" s="79">
        <f t="shared" ref="W2" si="11">V2+1</f>
        <v>14</v>
      </c>
      <c r="X2" s="79">
        <f t="shared" ref="X2" si="12">W2+1</f>
        <v>15</v>
      </c>
      <c r="Y2" s="79">
        <f t="shared" ref="Y2" si="13">X2+1</f>
        <v>16</v>
      </c>
      <c r="Z2" s="79">
        <f t="shared" ref="Z2" si="14">Y2+1</f>
        <v>17</v>
      </c>
      <c r="AA2" s="79">
        <f t="shared" ref="AA2" si="15">Z2+1</f>
        <v>18</v>
      </c>
      <c r="AB2" s="79">
        <f t="shared" ref="AB2" si="16">AA2+1</f>
        <v>19</v>
      </c>
      <c r="AC2" s="79">
        <f t="shared" ref="AC2" si="17">AB2+1</f>
        <v>20</v>
      </c>
      <c r="AD2" s="79">
        <f t="shared" ref="AD2" si="18">AC2+1</f>
        <v>21</v>
      </c>
      <c r="AE2" s="79">
        <f t="shared" ref="AE2" si="19">AD2+1</f>
        <v>22</v>
      </c>
      <c r="AF2" s="79">
        <f t="shared" ref="AF2" si="20">AE2+1</f>
        <v>23</v>
      </c>
      <c r="AG2" s="79">
        <f t="shared" ref="AG2" si="21">AF2+1</f>
        <v>24</v>
      </c>
      <c r="AH2" s="79">
        <f t="shared" ref="AH2" si="22">AG2+1</f>
        <v>25</v>
      </c>
      <c r="AI2" s="79">
        <f t="shared" ref="AI2" si="23">AH2+1</f>
        <v>26</v>
      </c>
      <c r="AJ2" s="79">
        <f t="shared" ref="AJ2" si="24">AI2+1</f>
        <v>27</v>
      </c>
      <c r="AK2" s="79">
        <f t="shared" ref="AK2" si="25">AJ2+1</f>
        <v>28</v>
      </c>
      <c r="AL2" s="79">
        <f t="shared" ref="AL2" si="26">AK2+1</f>
        <v>29</v>
      </c>
      <c r="AM2" s="78" t="s">
        <v>62</v>
      </c>
      <c r="AN2" s="81" t="s">
        <v>63</v>
      </c>
      <c r="AP2" s="135" t="s">
        <v>97</v>
      </c>
      <c r="AQ2" s="92" t="s">
        <v>96</v>
      </c>
    </row>
    <row r="3" spans="1:46" s="14" customFormat="1" ht="18" customHeight="1" thickBot="1" x14ac:dyDescent="0.25">
      <c r="A3" s="179"/>
      <c r="B3" s="181"/>
      <c r="C3" s="165" t="s">
        <v>103</v>
      </c>
      <c r="D3" s="166" t="s">
        <v>104</v>
      </c>
      <c r="E3" s="147">
        <v>0</v>
      </c>
      <c r="F3" s="170">
        <v>0</v>
      </c>
      <c r="G3" s="148">
        <v>8</v>
      </c>
      <c r="H3" s="148">
        <v>3</v>
      </c>
      <c r="I3" s="148">
        <v>0</v>
      </c>
      <c r="J3" s="148">
        <v>0</v>
      </c>
      <c r="K3" s="148">
        <v>6</v>
      </c>
      <c r="L3" s="148">
        <v>9</v>
      </c>
      <c r="M3" s="148">
        <v>0</v>
      </c>
      <c r="N3" s="148">
        <v>0</v>
      </c>
      <c r="O3" s="148">
        <v>10</v>
      </c>
      <c r="P3" s="148">
        <v>4</v>
      </c>
      <c r="Q3" s="148">
        <v>6</v>
      </c>
      <c r="R3" s="148">
        <v>0</v>
      </c>
      <c r="S3" s="148">
        <v>0</v>
      </c>
      <c r="T3" s="148">
        <v>1</v>
      </c>
      <c r="U3" s="148">
        <v>2</v>
      </c>
      <c r="V3" s="148">
        <v>0</v>
      </c>
      <c r="W3" s="148">
        <v>0</v>
      </c>
      <c r="X3" s="148">
        <v>5</v>
      </c>
      <c r="Y3" s="148">
        <v>7</v>
      </c>
      <c r="Z3" s="148">
        <v>0</v>
      </c>
      <c r="AA3" s="148">
        <v>0</v>
      </c>
      <c r="AB3" s="148">
        <v>4</v>
      </c>
      <c r="AC3" s="148">
        <v>9</v>
      </c>
      <c r="AD3" s="148">
        <v>7</v>
      </c>
      <c r="AE3" s="148">
        <v>0</v>
      </c>
      <c r="AF3" s="148">
        <v>0</v>
      </c>
      <c r="AG3" s="148">
        <v>3</v>
      </c>
      <c r="AH3" s="148">
        <v>2</v>
      </c>
      <c r="AI3" s="148">
        <v>0</v>
      </c>
      <c r="AJ3" s="148">
        <v>0</v>
      </c>
      <c r="AK3" s="148">
        <v>1</v>
      </c>
      <c r="AL3" s="149">
        <v>6</v>
      </c>
      <c r="AM3" s="152">
        <f>COUNTIF(E3:AL3,"&gt;0")</f>
        <v>18</v>
      </c>
      <c r="AN3" s="153">
        <f>COUNTIF(E3:AL3,"=0")</f>
        <v>16</v>
      </c>
      <c r="AO3" s="143"/>
      <c r="AP3" s="154">
        <v>0</v>
      </c>
      <c r="AQ3" s="137" t="s">
        <v>7</v>
      </c>
      <c r="AR3"/>
      <c r="AS3"/>
      <c r="AT3"/>
    </row>
    <row r="4" spans="1:46" ht="18" customHeight="1" thickBot="1" x14ac:dyDescent="0.25">
      <c r="A4" s="182"/>
      <c r="B4" s="183"/>
      <c r="C4" s="156" t="s">
        <v>103</v>
      </c>
      <c r="D4" s="157" t="s">
        <v>104</v>
      </c>
      <c r="E4" s="150">
        <v>1</v>
      </c>
      <c r="F4" s="169">
        <v>10</v>
      </c>
      <c r="G4" s="169">
        <v>0</v>
      </c>
      <c r="H4" s="169">
        <v>0</v>
      </c>
      <c r="I4" s="169">
        <v>5</v>
      </c>
      <c r="J4" s="82">
        <v>9</v>
      </c>
      <c r="K4" s="82">
        <v>0</v>
      </c>
      <c r="L4" s="82">
        <v>0</v>
      </c>
      <c r="M4" s="82">
        <v>7</v>
      </c>
      <c r="N4" s="82">
        <v>9</v>
      </c>
      <c r="O4" s="82">
        <v>4</v>
      </c>
      <c r="P4" s="82">
        <v>0</v>
      </c>
      <c r="Q4" s="82">
        <v>0</v>
      </c>
      <c r="R4" s="82">
        <v>3</v>
      </c>
      <c r="S4" s="82">
        <v>2</v>
      </c>
      <c r="T4" s="82">
        <v>0</v>
      </c>
      <c r="U4" s="82">
        <v>0</v>
      </c>
      <c r="V4" s="82">
        <v>7</v>
      </c>
      <c r="W4" s="82">
        <v>4</v>
      </c>
      <c r="X4" s="82">
        <v>3</v>
      </c>
      <c r="Y4" s="82">
        <v>0</v>
      </c>
      <c r="Z4" s="82">
        <v>0</v>
      </c>
      <c r="AA4" s="82">
        <v>2</v>
      </c>
      <c r="AB4" s="82">
        <v>6</v>
      </c>
      <c r="AC4" s="82">
        <v>1</v>
      </c>
      <c r="AD4" s="82">
        <v>0</v>
      </c>
      <c r="AE4" s="82">
        <v>0</v>
      </c>
      <c r="AF4" s="82">
        <v>8</v>
      </c>
      <c r="AG4" s="82">
        <v>6</v>
      </c>
      <c r="AH4" s="82">
        <v>0</v>
      </c>
      <c r="AI4" s="82">
        <v>0</v>
      </c>
      <c r="AJ4" s="82">
        <v>5</v>
      </c>
      <c r="AK4" s="82">
        <v>8</v>
      </c>
      <c r="AL4" s="151">
        <v>0</v>
      </c>
      <c r="AM4" s="152">
        <f t="shared" ref="AM4:AM20" si="27">COUNTIF(E4:AL4,"&gt;0")</f>
        <v>19</v>
      </c>
      <c r="AN4" s="153">
        <f>COUNTIF(E4:AL4,"=0")</f>
        <v>15</v>
      </c>
      <c r="AO4" s="143"/>
      <c r="AP4" s="155">
        <v>1</v>
      </c>
      <c r="AQ4" s="154" t="s">
        <v>93</v>
      </c>
    </row>
    <row r="5" spans="1:46" s="14" customFormat="1" ht="18" customHeight="1" thickBot="1" x14ac:dyDescent="0.25">
      <c r="A5" s="158" t="s">
        <v>98</v>
      </c>
      <c r="B5" s="161">
        <v>5</v>
      </c>
      <c r="C5" s="156" t="s">
        <v>103</v>
      </c>
      <c r="D5" s="157" t="s">
        <v>104</v>
      </c>
      <c r="E5" s="150">
        <v>0</v>
      </c>
      <c r="F5" s="169">
        <v>0</v>
      </c>
      <c r="G5" s="169">
        <v>4</v>
      </c>
      <c r="H5" s="169">
        <v>9</v>
      </c>
      <c r="I5" s="169">
        <v>7</v>
      </c>
      <c r="J5" s="82">
        <v>0</v>
      </c>
      <c r="K5" s="82">
        <v>0</v>
      </c>
      <c r="L5" s="82">
        <v>6</v>
      </c>
      <c r="M5" s="82">
        <v>3</v>
      </c>
      <c r="N5" s="82">
        <v>0</v>
      </c>
      <c r="O5" s="82">
        <v>0</v>
      </c>
      <c r="P5" s="82">
        <v>1</v>
      </c>
      <c r="Q5" s="82">
        <v>10</v>
      </c>
      <c r="R5" s="82">
        <v>0</v>
      </c>
      <c r="S5" s="82">
        <v>0</v>
      </c>
      <c r="T5" s="82">
        <v>2</v>
      </c>
      <c r="U5" s="82">
        <v>5</v>
      </c>
      <c r="V5" s="82">
        <v>8</v>
      </c>
      <c r="W5" s="82">
        <v>0</v>
      </c>
      <c r="X5" s="82">
        <v>0</v>
      </c>
      <c r="Y5" s="82">
        <v>4</v>
      </c>
      <c r="Z5" s="82">
        <v>8</v>
      </c>
      <c r="AA5" s="82">
        <v>0</v>
      </c>
      <c r="AB5" s="82">
        <v>0</v>
      </c>
      <c r="AC5" s="82">
        <v>6</v>
      </c>
      <c r="AD5" s="82">
        <v>9</v>
      </c>
      <c r="AE5" s="82">
        <v>0</v>
      </c>
      <c r="AF5" s="82">
        <v>0</v>
      </c>
      <c r="AG5" s="82">
        <v>2</v>
      </c>
      <c r="AH5" s="82">
        <v>7</v>
      </c>
      <c r="AI5" s="82">
        <v>0</v>
      </c>
      <c r="AJ5" s="82">
        <v>0</v>
      </c>
      <c r="AK5" s="82">
        <v>9</v>
      </c>
      <c r="AL5" s="151">
        <v>3</v>
      </c>
      <c r="AM5" s="152">
        <f t="shared" si="27"/>
        <v>18</v>
      </c>
      <c r="AN5" s="153">
        <f t="shared" ref="AN5:AN20" si="28">COUNTIF(E5:AL5,"=0")</f>
        <v>16</v>
      </c>
      <c r="AO5" s="143"/>
      <c r="AP5" s="155">
        <v>2</v>
      </c>
      <c r="AQ5" s="154" t="s">
        <v>85</v>
      </c>
    </row>
    <row r="6" spans="1:46" ht="18" customHeight="1" thickBot="1" x14ac:dyDescent="0.25">
      <c r="A6" s="159" t="s">
        <v>99</v>
      </c>
      <c r="B6" s="162">
        <v>3</v>
      </c>
      <c r="C6" s="156" t="s">
        <v>103</v>
      </c>
      <c r="D6" s="157" t="s">
        <v>104</v>
      </c>
      <c r="E6" s="150">
        <v>2</v>
      </c>
      <c r="F6" s="169">
        <v>1</v>
      </c>
      <c r="G6" s="169">
        <v>0</v>
      </c>
      <c r="H6" s="169">
        <v>0</v>
      </c>
      <c r="I6" s="169">
        <v>6</v>
      </c>
      <c r="J6" s="82">
        <v>5</v>
      </c>
      <c r="K6" s="82">
        <v>0</v>
      </c>
      <c r="L6" s="82">
        <v>0</v>
      </c>
      <c r="M6" s="82">
        <v>8</v>
      </c>
      <c r="N6" s="82">
        <v>7</v>
      </c>
      <c r="O6" s="82">
        <v>0</v>
      </c>
      <c r="P6" s="82">
        <v>0</v>
      </c>
      <c r="Q6" s="82">
        <v>4</v>
      </c>
      <c r="R6" s="82">
        <v>0</v>
      </c>
      <c r="S6" s="82">
        <v>10</v>
      </c>
      <c r="T6" s="82">
        <v>3</v>
      </c>
      <c r="U6" s="82">
        <v>0</v>
      </c>
      <c r="V6" s="82">
        <v>0</v>
      </c>
      <c r="W6" s="82">
        <v>9</v>
      </c>
      <c r="X6" s="82">
        <v>6</v>
      </c>
      <c r="Y6" s="82">
        <v>0</v>
      </c>
      <c r="Z6" s="82">
        <v>0</v>
      </c>
      <c r="AA6" s="82">
        <v>4</v>
      </c>
      <c r="AB6" s="82">
        <v>9</v>
      </c>
      <c r="AC6" s="82">
        <v>3</v>
      </c>
      <c r="AD6" s="82">
        <v>0</v>
      </c>
      <c r="AE6" s="82">
        <v>0</v>
      </c>
      <c r="AF6" s="82">
        <v>2</v>
      </c>
      <c r="AG6" s="82">
        <v>8</v>
      </c>
      <c r="AH6" s="82">
        <v>1</v>
      </c>
      <c r="AI6" s="82">
        <v>0</v>
      </c>
      <c r="AJ6" s="82">
        <v>7</v>
      </c>
      <c r="AK6" s="82">
        <v>5</v>
      </c>
      <c r="AL6" s="151">
        <v>10</v>
      </c>
      <c r="AM6" s="152">
        <f t="shared" si="27"/>
        <v>20</v>
      </c>
      <c r="AN6" s="153">
        <f t="shared" si="28"/>
        <v>14</v>
      </c>
      <c r="AO6" s="143"/>
      <c r="AP6" s="155">
        <v>3</v>
      </c>
      <c r="AQ6" s="154" t="s">
        <v>86</v>
      </c>
    </row>
    <row r="7" spans="1:46" ht="18" customHeight="1" thickBot="1" x14ac:dyDescent="0.25">
      <c r="A7" s="159" t="s">
        <v>100</v>
      </c>
      <c r="B7" s="162">
        <v>10</v>
      </c>
      <c r="C7" s="156" t="s">
        <v>103</v>
      </c>
      <c r="D7" s="157" t="s">
        <v>104</v>
      </c>
      <c r="E7" s="150">
        <v>0</v>
      </c>
      <c r="F7" s="169">
        <v>0</v>
      </c>
      <c r="G7" s="169">
        <v>10</v>
      </c>
      <c r="H7" s="169">
        <v>7</v>
      </c>
      <c r="I7" s="169">
        <v>0</v>
      </c>
      <c r="J7" s="82">
        <v>0</v>
      </c>
      <c r="K7" s="82">
        <v>4</v>
      </c>
      <c r="L7" s="82">
        <v>3</v>
      </c>
      <c r="M7" s="82">
        <v>6</v>
      </c>
      <c r="N7" s="82">
        <v>0</v>
      </c>
      <c r="O7" s="82">
        <v>0</v>
      </c>
      <c r="P7" s="82">
        <v>2</v>
      </c>
      <c r="Q7" s="82">
        <v>5</v>
      </c>
      <c r="R7" s="82">
        <v>1</v>
      </c>
      <c r="S7" s="82">
        <v>0</v>
      </c>
      <c r="T7" s="82">
        <v>0</v>
      </c>
      <c r="U7" s="82">
        <v>8</v>
      </c>
      <c r="V7" s="82">
        <v>9</v>
      </c>
      <c r="W7" s="82">
        <v>6</v>
      </c>
      <c r="X7" s="82">
        <v>0</v>
      </c>
      <c r="Y7" s="82">
        <v>0</v>
      </c>
      <c r="Z7" s="82">
        <v>4</v>
      </c>
      <c r="AA7" s="82">
        <v>10</v>
      </c>
      <c r="AB7" s="82">
        <v>0</v>
      </c>
      <c r="AC7" s="82">
        <v>0</v>
      </c>
      <c r="AD7" s="82">
        <v>3</v>
      </c>
      <c r="AE7" s="82">
        <v>2</v>
      </c>
      <c r="AF7" s="82">
        <v>0</v>
      </c>
      <c r="AG7" s="82">
        <v>0</v>
      </c>
      <c r="AH7" s="82">
        <v>8</v>
      </c>
      <c r="AI7" s="82">
        <v>1</v>
      </c>
      <c r="AJ7" s="82">
        <v>0</v>
      </c>
      <c r="AK7" s="82">
        <v>0</v>
      </c>
      <c r="AL7" s="151">
        <v>5</v>
      </c>
      <c r="AM7" s="152">
        <f t="shared" si="27"/>
        <v>18</v>
      </c>
      <c r="AN7" s="153">
        <f t="shared" si="28"/>
        <v>16</v>
      </c>
      <c r="AO7" s="143"/>
      <c r="AP7" s="155">
        <v>4</v>
      </c>
      <c r="AQ7" s="154" t="s">
        <v>87</v>
      </c>
    </row>
    <row r="8" spans="1:46" ht="18" customHeight="1" thickBot="1" x14ac:dyDescent="0.25">
      <c r="A8" s="159" t="s">
        <v>101</v>
      </c>
      <c r="B8" s="163">
        <f>ROWS(r_volunteer_schedule)</f>
        <v>18</v>
      </c>
      <c r="C8" s="156" t="s">
        <v>103</v>
      </c>
      <c r="D8" s="157" t="s">
        <v>104</v>
      </c>
      <c r="E8" s="150">
        <v>3</v>
      </c>
      <c r="F8" s="169">
        <v>2</v>
      </c>
      <c r="G8" s="169">
        <v>0</v>
      </c>
      <c r="H8" s="169">
        <v>0</v>
      </c>
      <c r="I8" s="169">
        <v>9</v>
      </c>
      <c r="J8" s="82">
        <v>1</v>
      </c>
      <c r="K8" s="82">
        <v>0</v>
      </c>
      <c r="L8" s="82">
        <v>0</v>
      </c>
      <c r="M8" s="82">
        <v>5</v>
      </c>
      <c r="N8" s="82">
        <v>6</v>
      </c>
      <c r="O8" s="82">
        <v>0</v>
      </c>
      <c r="P8" s="82">
        <v>0</v>
      </c>
      <c r="Q8" s="82">
        <v>8</v>
      </c>
      <c r="R8" s="82">
        <v>4</v>
      </c>
      <c r="S8" s="82">
        <v>0</v>
      </c>
      <c r="T8" s="82">
        <v>7</v>
      </c>
      <c r="U8" s="82">
        <v>10</v>
      </c>
      <c r="V8" s="82">
        <v>0</v>
      </c>
      <c r="W8" s="82">
        <v>0</v>
      </c>
      <c r="X8" s="82">
        <v>8</v>
      </c>
      <c r="Y8" s="82">
        <v>3</v>
      </c>
      <c r="Z8" s="82">
        <v>0</v>
      </c>
      <c r="AA8" s="82">
        <v>0</v>
      </c>
      <c r="AB8" s="82">
        <v>7</v>
      </c>
      <c r="AC8" s="82">
        <v>2</v>
      </c>
      <c r="AD8" s="82">
        <v>0</v>
      </c>
      <c r="AE8" s="82">
        <v>0</v>
      </c>
      <c r="AF8" s="82">
        <v>5</v>
      </c>
      <c r="AG8" s="82">
        <v>9</v>
      </c>
      <c r="AH8" s="82">
        <v>0</v>
      </c>
      <c r="AI8" s="82">
        <v>0</v>
      </c>
      <c r="AJ8" s="82">
        <v>1</v>
      </c>
      <c r="AK8" s="82">
        <v>6</v>
      </c>
      <c r="AL8" s="151">
        <v>0</v>
      </c>
      <c r="AM8" s="152">
        <f t="shared" si="27"/>
        <v>18</v>
      </c>
      <c r="AN8" s="153">
        <f t="shared" si="28"/>
        <v>16</v>
      </c>
      <c r="AO8" s="143"/>
      <c r="AP8" s="155">
        <v>5</v>
      </c>
      <c r="AQ8" s="154" t="s">
        <v>88</v>
      </c>
    </row>
    <row r="9" spans="1:46" ht="18" customHeight="1" thickBot="1" x14ac:dyDescent="0.25">
      <c r="A9" s="160" t="s">
        <v>102</v>
      </c>
      <c r="B9" s="164">
        <f>COLUMNS(r_volunteer_schedule)</f>
        <v>34</v>
      </c>
      <c r="C9" s="156" t="s">
        <v>103</v>
      </c>
      <c r="D9" s="157" t="s">
        <v>104</v>
      </c>
      <c r="E9" s="150">
        <v>0</v>
      </c>
      <c r="F9" s="169">
        <v>0</v>
      </c>
      <c r="G9" s="169">
        <v>6</v>
      </c>
      <c r="H9" s="169">
        <v>4</v>
      </c>
      <c r="I9" s="169">
        <v>0</v>
      </c>
      <c r="J9" s="82">
        <v>0</v>
      </c>
      <c r="K9" s="82">
        <v>8</v>
      </c>
      <c r="L9" s="82">
        <v>10</v>
      </c>
      <c r="M9" s="82">
        <v>0</v>
      </c>
      <c r="N9" s="82">
        <v>0</v>
      </c>
      <c r="O9" s="82">
        <v>3</v>
      </c>
      <c r="P9" s="82">
        <v>5</v>
      </c>
      <c r="Q9" s="82">
        <v>9</v>
      </c>
      <c r="R9" s="82">
        <v>2</v>
      </c>
      <c r="S9" s="82">
        <v>1</v>
      </c>
      <c r="T9" s="82">
        <v>0</v>
      </c>
      <c r="U9" s="82">
        <v>0</v>
      </c>
      <c r="V9" s="82">
        <v>5</v>
      </c>
      <c r="W9" s="82">
        <v>7</v>
      </c>
      <c r="X9" s="82">
        <v>0</v>
      </c>
      <c r="Y9" s="82">
        <v>0</v>
      </c>
      <c r="Z9" s="82">
        <v>3</v>
      </c>
      <c r="AA9" s="82">
        <v>8</v>
      </c>
      <c r="AB9" s="82">
        <v>2</v>
      </c>
      <c r="AC9" s="82">
        <v>0</v>
      </c>
      <c r="AD9" s="82">
        <v>0</v>
      </c>
      <c r="AE9" s="82">
        <v>7</v>
      </c>
      <c r="AF9" s="82">
        <v>1</v>
      </c>
      <c r="AG9" s="82">
        <v>10</v>
      </c>
      <c r="AH9" s="82">
        <v>0</v>
      </c>
      <c r="AI9" s="82">
        <v>6</v>
      </c>
      <c r="AJ9" s="82">
        <v>9</v>
      </c>
      <c r="AK9" s="82">
        <v>10</v>
      </c>
      <c r="AL9" s="151">
        <v>0</v>
      </c>
      <c r="AM9" s="152">
        <f t="shared" si="27"/>
        <v>20</v>
      </c>
      <c r="AN9" s="153">
        <f t="shared" si="28"/>
        <v>14</v>
      </c>
      <c r="AO9" s="143"/>
      <c r="AP9" s="155">
        <v>6</v>
      </c>
      <c r="AQ9" s="154" t="s">
        <v>90</v>
      </c>
    </row>
    <row r="10" spans="1:46" ht="18" customHeight="1" thickBot="1" x14ac:dyDescent="0.25">
      <c r="A10" s="184"/>
      <c r="B10" s="185"/>
      <c r="C10" s="156" t="s">
        <v>103</v>
      </c>
      <c r="D10" s="157" t="s">
        <v>104</v>
      </c>
      <c r="E10" s="150">
        <v>4</v>
      </c>
      <c r="F10" s="169">
        <v>3</v>
      </c>
      <c r="G10" s="169">
        <v>1</v>
      </c>
      <c r="H10" s="169">
        <v>10</v>
      </c>
      <c r="I10" s="169">
        <v>0</v>
      </c>
      <c r="J10" s="82">
        <v>8</v>
      </c>
      <c r="K10" s="82">
        <v>7</v>
      </c>
      <c r="L10" s="82">
        <v>0</v>
      </c>
      <c r="M10" s="82">
        <v>0</v>
      </c>
      <c r="N10" s="82">
        <v>2</v>
      </c>
      <c r="O10" s="82">
        <v>9</v>
      </c>
      <c r="P10" s="82">
        <v>0</v>
      </c>
      <c r="Q10" s="82">
        <v>0</v>
      </c>
      <c r="R10" s="82">
        <v>5</v>
      </c>
      <c r="S10" s="82">
        <v>7</v>
      </c>
      <c r="T10" s="82">
        <v>0</v>
      </c>
      <c r="U10" s="82">
        <v>6</v>
      </c>
      <c r="V10" s="82">
        <v>1</v>
      </c>
      <c r="W10" s="82">
        <v>0</v>
      </c>
      <c r="X10" s="82">
        <v>0</v>
      </c>
      <c r="Y10" s="82">
        <v>9</v>
      </c>
      <c r="Z10" s="82">
        <v>6</v>
      </c>
      <c r="AA10" s="82">
        <v>0</v>
      </c>
      <c r="AB10" s="82">
        <v>0</v>
      </c>
      <c r="AC10" s="82">
        <v>5</v>
      </c>
      <c r="AD10" s="82">
        <v>8</v>
      </c>
      <c r="AE10" s="82">
        <v>4</v>
      </c>
      <c r="AF10" s="82">
        <v>0</v>
      </c>
      <c r="AG10" s="82">
        <v>0</v>
      </c>
      <c r="AH10" s="82">
        <v>3</v>
      </c>
      <c r="AI10" s="82">
        <v>10</v>
      </c>
      <c r="AJ10" s="82">
        <v>0</v>
      </c>
      <c r="AK10" s="82">
        <v>0</v>
      </c>
      <c r="AL10" s="151">
        <v>9</v>
      </c>
      <c r="AM10" s="152">
        <f t="shared" si="27"/>
        <v>20</v>
      </c>
      <c r="AN10" s="153">
        <f t="shared" si="28"/>
        <v>14</v>
      </c>
      <c r="AO10" s="143"/>
      <c r="AP10" s="155">
        <v>7</v>
      </c>
      <c r="AQ10" s="154" t="s">
        <v>89</v>
      </c>
    </row>
    <row r="11" spans="1:46" ht="18" customHeight="1" thickBot="1" x14ac:dyDescent="0.25">
      <c r="A11" s="186"/>
      <c r="B11" s="187"/>
      <c r="C11" s="156" t="s">
        <v>103</v>
      </c>
      <c r="D11" s="157" t="s">
        <v>104</v>
      </c>
      <c r="E11" s="150">
        <v>0</v>
      </c>
      <c r="F11" s="169">
        <v>0</v>
      </c>
      <c r="G11" s="169">
        <v>9</v>
      </c>
      <c r="H11" s="169">
        <v>6</v>
      </c>
      <c r="I11" s="169">
        <v>0</v>
      </c>
      <c r="J11" s="82">
        <v>0</v>
      </c>
      <c r="K11" s="82">
        <v>3</v>
      </c>
      <c r="L11" s="82">
        <v>5</v>
      </c>
      <c r="M11" s="82">
        <v>10</v>
      </c>
      <c r="N11" s="82">
        <v>0</v>
      </c>
      <c r="O11" s="82">
        <v>0</v>
      </c>
      <c r="P11" s="82">
        <v>8</v>
      </c>
      <c r="Q11" s="82">
        <v>2</v>
      </c>
      <c r="R11" s="82">
        <v>0</v>
      </c>
      <c r="S11" s="82">
        <v>0</v>
      </c>
      <c r="T11" s="82">
        <v>4</v>
      </c>
      <c r="U11" s="82">
        <v>1</v>
      </c>
      <c r="V11" s="82">
        <v>0</v>
      </c>
      <c r="W11" s="82">
        <v>0</v>
      </c>
      <c r="X11" s="82">
        <v>7</v>
      </c>
      <c r="Y11" s="82">
        <v>5</v>
      </c>
      <c r="Z11" s="82">
        <v>0</v>
      </c>
      <c r="AA11" s="82">
        <v>0</v>
      </c>
      <c r="AB11" s="82">
        <v>10</v>
      </c>
      <c r="AC11" s="82">
        <v>4</v>
      </c>
      <c r="AD11" s="82">
        <v>0</v>
      </c>
      <c r="AE11" s="82">
        <v>0</v>
      </c>
      <c r="AF11" s="82">
        <v>3</v>
      </c>
      <c r="AG11" s="82">
        <v>7</v>
      </c>
      <c r="AH11" s="82">
        <v>0</v>
      </c>
      <c r="AI11" s="82">
        <v>0</v>
      </c>
      <c r="AJ11" s="82">
        <v>2</v>
      </c>
      <c r="AK11" s="82">
        <v>7</v>
      </c>
      <c r="AL11" s="151">
        <v>0</v>
      </c>
      <c r="AM11" s="152">
        <f t="shared" si="27"/>
        <v>17</v>
      </c>
      <c r="AN11" s="153">
        <f t="shared" si="28"/>
        <v>17</v>
      </c>
      <c r="AO11" s="143"/>
      <c r="AP11" s="155">
        <v>8</v>
      </c>
      <c r="AQ11" s="154" t="s">
        <v>91</v>
      </c>
    </row>
    <row r="12" spans="1:46" s="14" customFormat="1" ht="18" customHeight="1" thickBot="1" x14ac:dyDescent="0.25">
      <c r="A12" s="186"/>
      <c r="B12" s="187"/>
      <c r="C12" s="156" t="s">
        <v>103</v>
      </c>
      <c r="D12" s="157" t="s">
        <v>104</v>
      </c>
      <c r="E12" s="150">
        <v>5</v>
      </c>
      <c r="F12" s="169">
        <v>4</v>
      </c>
      <c r="G12" s="169">
        <v>0</v>
      </c>
      <c r="H12" s="169">
        <v>0</v>
      </c>
      <c r="I12" s="169">
        <v>8</v>
      </c>
      <c r="J12" s="82">
        <v>2</v>
      </c>
      <c r="K12" s="82">
        <v>1</v>
      </c>
      <c r="L12" s="82">
        <v>0</v>
      </c>
      <c r="M12" s="82">
        <v>0</v>
      </c>
      <c r="N12" s="82">
        <v>3</v>
      </c>
      <c r="O12" s="82">
        <v>7</v>
      </c>
      <c r="P12" s="82">
        <v>0</v>
      </c>
      <c r="Q12" s="82">
        <v>0</v>
      </c>
      <c r="R12" s="82">
        <v>9</v>
      </c>
      <c r="S12" s="82">
        <v>6</v>
      </c>
      <c r="T12" s="82">
        <v>10</v>
      </c>
      <c r="U12" s="82">
        <v>0</v>
      </c>
      <c r="V12" s="82">
        <v>0</v>
      </c>
      <c r="W12" s="82">
        <v>3</v>
      </c>
      <c r="X12" s="82">
        <v>2</v>
      </c>
      <c r="Y12" s="82">
        <v>10</v>
      </c>
      <c r="Z12" s="82">
        <v>0</v>
      </c>
      <c r="AA12" s="82">
        <v>1</v>
      </c>
      <c r="AB12" s="82">
        <v>8</v>
      </c>
      <c r="AC12" s="82">
        <v>0</v>
      </c>
      <c r="AD12" s="82">
        <v>0</v>
      </c>
      <c r="AE12" s="82">
        <v>9</v>
      </c>
      <c r="AF12" s="82">
        <v>6</v>
      </c>
      <c r="AG12" s="82">
        <v>5</v>
      </c>
      <c r="AH12" s="82">
        <v>0</v>
      </c>
      <c r="AI12" s="82">
        <v>7</v>
      </c>
      <c r="AJ12" s="82">
        <v>4</v>
      </c>
      <c r="AK12" s="82">
        <v>0</v>
      </c>
      <c r="AL12" s="151">
        <v>0</v>
      </c>
      <c r="AM12" s="152">
        <f t="shared" si="27"/>
        <v>20</v>
      </c>
      <c r="AN12" s="153">
        <f t="shared" si="28"/>
        <v>14</v>
      </c>
      <c r="AO12" s="143"/>
      <c r="AP12" s="155">
        <v>9</v>
      </c>
      <c r="AQ12" s="154" t="s">
        <v>92</v>
      </c>
    </row>
    <row r="13" spans="1:46" ht="18" customHeight="1" thickBot="1" x14ac:dyDescent="0.25">
      <c r="A13" s="188"/>
      <c r="B13" s="189"/>
      <c r="C13" s="156" t="s">
        <v>103</v>
      </c>
      <c r="D13" s="157" t="s">
        <v>104</v>
      </c>
      <c r="E13" s="150">
        <v>0</v>
      </c>
      <c r="F13" s="169">
        <v>0</v>
      </c>
      <c r="G13" s="169">
        <v>3</v>
      </c>
      <c r="H13" s="169">
        <v>8</v>
      </c>
      <c r="I13" s="169">
        <v>0</v>
      </c>
      <c r="J13" s="82">
        <v>0</v>
      </c>
      <c r="K13" s="82">
        <v>5</v>
      </c>
      <c r="L13" s="82">
        <v>8</v>
      </c>
      <c r="M13" s="82">
        <v>0</v>
      </c>
      <c r="N13" s="82">
        <v>0</v>
      </c>
      <c r="O13" s="82">
        <v>1</v>
      </c>
      <c r="P13" s="82">
        <v>7</v>
      </c>
      <c r="Q13" s="82">
        <v>0</v>
      </c>
      <c r="R13" s="82">
        <v>0</v>
      </c>
      <c r="S13" s="82">
        <v>4</v>
      </c>
      <c r="T13" s="82">
        <v>6</v>
      </c>
      <c r="U13" s="82">
        <v>0</v>
      </c>
      <c r="V13" s="82">
        <v>2</v>
      </c>
      <c r="W13" s="82">
        <v>10</v>
      </c>
      <c r="X13" s="82">
        <v>0</v>
      </c>
      <c r="Y13" s="82">
        <v>0</v>
      </c>
      <c r="Z13" s="82">
        <v>5</v>
      </c>
      <c r="AA13" s="82">
        <v>9</v>
      </c>
      <c r="AB13" s="82">
        <v>0</v>
      </c>
      <c r="AC13" s="82">
        <v>0</v>
      </c>
      <c r="AD13" s="82">
        <v>4</v>
      </c>
      <c r="AE13" s="82">
        <v>3</v>
      </c>
      <c r="AF13" s="82">
        <v>10</v>
      </c>
      <c r="AG13" s="82">
        <v>0</v>
      </c>
      <c r="AH13" s="82">
        <v>0</v>
      </c>
      <c r="AI13" s="82">
        <v>2</v>
      </c>
      <c r="AJ13" s="82">
        <v>6</v>
      </c>
      <c r="AK13" s="82">
        <v>0</v>
      </c>
      <c r="AL13" s="151">
        <v>1</v>
      </c>
      <c r="AM13" s="152">
        <f t="shared" si="27"/>
        <v>18</v>
      </c>
      <c r="AN13" s="153">
        <f t="shared" si="28"/>
        <v>16</v>
      </c>
      <c r="AO13" s="143"/>
      <c r="AP13" s="155">
        <v>10</v>
      </c>
      <c r="AQ13" s="154" t="s">
        <v>92</v>
      </c>
    </row>
    <row r="14" spans="1:46" ht="18" customHeight="1" thickBot="1" x14ac:dyDescent="0.25">
      <c r="C14" s="156" t="s">
        <v>103</v>
      </c>
      <c r="D14" s="157" t="s">
        <v>104</v>
      </c>
      <c r="E14" s="150">
        <v>6</v>
      </c>
      <c r="F14" s="169">
        <v>5</v>
      </c>
      <c r="G14" s="169">
        <v>0</v>
      </c>
      <c r="H14" s="169">
        <v>0</v>
      </c>
      <c r="I14" s="169">
        <v>2</v>
      </c>
      <c r="J14" s="82">
        <v>10</v>
      </c>
      <c r="K14" s="82">
        <v>0</v>
      </c>
      <c r="L14" s="82">
        <v>0</v>
      </c>
      <c r="M14" s="82">
        <v>1</v>
      </c>
      <c r="N14" s="82">
        <v>4</v>
      </c>
      <c r="O14" s="82">
        <v>0</v>
      </c>
      <c r="P14" s="82">
        <v>0</v>
      </c>
      <c r="Q14" s="82">
        <v>7</v>
      </c>
      <c r="R14" s="82">
        <v>8</v>
      </c>
      <c r="S14" s="82">
        <v>9</v>
      </c>
      <c r="T14" s="82">
        <v>0</v>
      </c>
      <c r="U14" s="82">
        <v>0</v>
      </c>
      <c r="V14" s="82">
        <v>3</v>
      </c>
      <c r="W14" s="82">
        <v>5</v>
      </c>
      <c r="X14" s="82">
        <v>0</v>
      </c>
      <c r="Y14" s="82">
        <v>2</v>
      </c>
      <c r="Z14" s="82">
        <v>9</v>
      </c>
      <c r="AA14" s="82">
        <v>0</v>
      </c>
      <c r="AB14" s="82">
        <v>0</v>
      </c>
      <c r="AC14" s="82">
        <v>7</v>
      </c>
      <c r="AD14" s="82">
        <v>10</v>
      </c>
      <c r="AE14" s="82">
        <v>1</v>
      </c>
      <c r="AF14" s="82">
        <v>0</v>
      </c>
      <c r="AG14" s="82">
        <v>0</v>
      </c>
      <c r="AH14" s="82">
        <v>0</v>
      </c>
      <c r="AI14" s="82">
        <v>4</v>
      </c>
      <c r="AJ14" s="82">
        <v>8</v>
      </c>
      <c r="AK14" s="82">
        <v>0</v>
      </c>
      <c r="AL14" s="151">
        <v>0</v>
      </c>
      <c r="AM14" s="152">
        <f t="shared" si="27"/>
        <v>18</v>
      </c>
      <c r="AN14" s="153">
        <f t="shared" si="28"/>
        <v>16</v>
      </c>
      <c r="AO14" s="143"/>
      <c r="AP14" s="155">
        <v>11</v>
      </c>
      <c r="AQ14" s="154" t="s">
        <v>14</v>
      </c>
    </row>
    <row r="15" spans="1:46" ht="18" customHeight="1" thickBot="1" x14ac:dyDescent="0.25">
      <c r="C15" s="156" t="s">
        <v>103</v>
      </c>
      <c r="D15" s="157" t="s">
        <v>104</v>
      </c>
      <c r="E15" s="150">
        <v>0</v>
      </c>
      <c r="F15" s="169">
        <v>0</v>
      </c>
      <c r="G15" s="169">
        <v>5</v>
      </c>
      <c r="H15" s="169">
        <v>0</v>
      </c>
      <c r="I15" s="169">
        <v>0</v>
      </c>
      <c r="J15" s="82">
        <v>4</v>
      </c>
      <c r="K15" s="82">
        <v>9</v>
      </c>
      <c r="L15" s="82">
        <v>7</v>
      </c>
      <c r="M15" s="82">
        <v>0</v>
      </c>
      <c r="N15" s="82">
        <v>0</v>
      </c>
      <c r="O15" s="82">
        <v>2</v>
      </c>
      <c r="P15" s="82">
        <v>6</v>
      </c>
      <c r="Q15" s="82">
        <v>0</v>
      </c>
      <c r="R15" s="82">
        <v>0</v>
      </c>
      <c r="S15" s="82">
        <v>3</v>
      </c>
      <c r="T15" s="82">
        <v>8</v>
      </c>
      <c r="U15" s="82">
        <v>9</v>
      </c>
      <c r="V15" s="82">
        <v>0</v>
      </c>
      <c r="W15" s="82">
        <v>0</v>
      </c>
      <c r="X15" s="82">
        <v>1</v>
      </c>
      <c r="Y15" s="82">
        <v>6</v>
      </c>
      <c r="Z15" s="82">
        <v>10</v>
      </c>
      <c r="AA15" s="82">
        <v>0</v>
      </c>
      <c r="AB15" s="82">
        <v>3</v>
      </c>
      <c r="AC15" s="82">
        <v>8</v>
      </c>
      <c r="AD15" s="82">
        <v>2</v>
      </c>
      <c r="AE15" s="82">
        <v>0</v>
      </c>
      <c r="AF15" s="82">
        <v>0</v>
      </c>
      <c r="AG15" s="82">
        <v>1</v>
      </c>
      <c r="AH15" s="82">
        <v>5</v>
      </c>
      <c r="AI15" s="82">
        <v>0</v>
      </c>
      <c r="AJ15" s="82">
        <v>0</v>
      </c>
      <c r="AK15" s="82">
        <v>4</v>
      </c>
      <c r="AL15" s="151">
        <v>7</v>
      </c>
      <c r="AM15" s="152">
        <f t="shared" si="27"/>
        <v>19</v>
      </c>
      <c r="AN15" s="153">
        <f t="shared" si="28"/>
        <v>15</v>
      </c>
      <c r="AO15" s="143"/>
      <c r="AP15" s="155">
        <v>12</v>
      </c>
      <c r="AQ15" s="136" t="s">
        <v>66</v>
      </c>
    </row>
    <row r="16" spans="1:46" ht="18" customHeight="1" thickBot="1" x14ac:dyDescent="0.25">
      <c r="C16" s="156" t="s">
        <v>103</v>
      </c>
      <c r="D16" s="157" t="s">
        <v>104</v>
      </c>
      <c r="E16" s="150">
        <v>7</v>
      </c>
      <c r="F16" s="169">
        <v>6</v>
      </c>
      <c r="G16" s="169">
        <v>0</v>
      </c>
      <c r="H16" s="169">
        <v>0</v>
      </c>
      <c r="I16" s="169">
        <v>10</v>
      </c>
      <c r="J16" s="82">
        <v>3</v>
      </c>
      <c r="K16" s="82">
        <v>0</v>
      </c>
      <c r="L16" s="82">
        <v>0</v>
      </c>
      <c r="M16" s="82">
        <v>2</v>
      </c>
      <c r="N16" s="82">
        <v>1</v>
      </c>
      <c r="O16" s="82">
        <v>5</v>
      </c>
      <c r="P16" s="82">
        <v>9</v>
      </c>
      <c r="Q16" s="82">
        <v>0</v>
      </c>
      <c r="R16" s="82">
        <v>10</v>
      </c>
      <c r="S16" s="82">
        <v>8</v>
      </c>
      <c r="T16" s="82">
        <v>0</v>
      </c>
      <c r="U16" s="82">
        <v>0</v>
      </c>
      <c r="V16" s="82">
        <v>4</v>
      </c>
      <c r="W16" s="82">
        <v>1</v>
      </c>
      <c r="X16" s="82">
        <v>0</v>
      </c>
      <c r="Y16" s="82">
        <v>0</v>
      </c>
      <c r="Z16" s="82">
        <v>7</v>
      </c>
      <c r="AA16" s="82">
        <v>5</v>
      </c>
      <c r="AB16" s="82">
        <v>0</v>
      </c>
      <c r="AC16" s="82">
        <v>0</v>
      </c>
      <c r="AD16" s="82">
        <v>6</v>
      </c>
      <c r="AE16" s="82">
        <v>8</v>
      </c>
      <c r="AF16" s="82">
        <v>0</v>
      </c>
      <c r="AG16" s="82">
        <v>0</v>
      </c>
      <c r="AH16" s="82">
        <v>10</v>
      </c>
      <c r="AI16" s="82">
        <v>3</v>
      </c>
      <c r="AJ16" s="82">
        <v>0</v>
      </c>
      <c r="AK16" s="82">
        <v>0</v>
      </c>
      <c r="AL16" s="151">
        <v>4</v>
      </c>
      <c r="AM16" s="152">
        <f t="shared" si="27"/>
        <v>19</v>
      </c>
      <c r="AN16" s="153">
        <f t="shared" si="28"/>
        <v>15</v>
      </c>
      <c r="AO16" s="143"/>
      <c r="AP16" s="155">
        <v>13</v>
      </c>
      <c r="AQ16" s="136" t="s">
        <v>55</v>
      </c>
    </row>
    <row r="17" spans="3:43" ht="18" customHeight="1" thickBot="1" x14ac:dyDescent="0.25">
      <c r="C17" s="156" t="s">
        <v>103</v>
      </c>
      <c r="D17" s="157" t="s">
        <v>104</v>
      </c>
      <c r="E17" s="150">
        <v>0</v>
      </c>
      <c r="F17" s="169">
        <v>0</v>
      </c>
      <c r="G17" s="169">
        <v>7</v>
      </c>
      <c r="H17" s="169">
        <v>5</v>
      </c>
      <c r="I17" s="169">
        <v>4</v>
      </c>
      <c r="J17" s="82">
        <v>0</v>
      </c>
      <c r="K17" s="82">
        <v>0</v>
      </c>
      <c r="L17" s="82">
        <v>2</v>
      </c>
      <c r="M17" s="82">
        <v>9</v>
      </c>
      <c r="N17" s="82">
        <v>8</v>
      </c>
      <c r="O17" s="82">
        <v>0</v>
      </c>
      <c r="P17" s="82">
        <v>0</v>
      </c>
      <c r="Q17" s="82">
        <v>1</v>
      </c>
      <c r="R17" s="82">
        <v>6</v>
      </c>
      <c r="S17" s="82">
        <v>0</v>
      </c>
      <c r="T17" s="82">
        <v>0</v>
      </c>
      <c r="U17" s="82">
        <v>3</v>
      </c>
      <c r="V17" s="82">
        <v>10</v>
      </c>
      <c r="W17" s="82">
        <v>8</v>
      </c>
      <c r="X17" s="82">
        <v>4</v>
      </c>
      <c r="Y17" s="82">
        <v>0</v>
      </c>
      <c r="Z17" s="82">
        <v>0</v>
      </c>
      <c r="AA17" s="82">
        <v>3</v>
      </c>
      <c r="AB17" s="82">
        <v>1</v>
      </c>
      <c r="AC17" s="82">
        <v>0</v>
      </c>
      <c r="AD17" s="82">
        <v>0</v>
      </c>
      <c r="AE17" s="82">
        <v>6</v>
      </c>
      <c r="AF17" s="82">
        <v>9</v>
      </c>
      <c r="AG17" s="82">
        <v>0</v>
      </c>
      <c r="AH17" s="82">
        <v>0</v>
      </c>
      <c r="AI17" s="82">
        <v>5</v>
      </c>
      <c r="AJ17" s="82">
        <v>10</v>
      </c>
      <c r="AK17" s="82">
        <v>2</v>
      </c>
      <c r="AL17" s="151">
        <v>0</v>
      </c>
      <c r="AM17" s="152">
        <f t="shared" si="27"/>
        <v>19</v>
      </c>
      <c r="AN17" s="153">
        <f t="shared" si="28"/>
        <v>15</v>
      </c>
      <c r="AO17" s="143"/>
      <c r="AP17" s="155">
        <v>14</v>
      </c>
      <c r="AQ17" s="136" t="s">
        <v>67</v>
      </c>
    </row>
    <row r="18" spans="3:43" s="14" customFormat="1" ht="18" customHeight="1" thickBot="1" x14ac:dyDescent="0.25">
      <c r="C18" s="156" t="s">
        <v>103</v>
      </c>
      <c r="D18" s="157" t="s">
        <v>104</v>
      </c>
      <c r="E18" s="150">
        <v>8</v>
      </c>
      <c r="F18" s="169">
        <v>7</v>
      </c>
      <c r="G18" s="169">
        <v>2</v>
      </c>
      <c r="H18" s="169">
        <v>1</v>
      </c>
      <c r="I18" s="169">
        <v>0</v>
      </c>
      <c r="J18" s="82">
        <v>0</v>
      </c>
      <c r="K18" s="82">
        <v>10</v>
      </c>
      <c r="L18" s="82">
        <v>4</v>
      </c>
      <c r="M18" s="82">
        <v>0</v>
      </c>
      <c r="N18" s="82">
        <v>0</v>
      </c>
      <c r="O18" s="82">
        <v>6</v>
      </c>
      <c r="P18" s="82">
        <v>3</v>
      </c>
      <c r="Q18" s="82">
        <v>0</v>
      </c>
      <c r="R18" s="82">
        <v>0</v>
      </c>
      <c r="S18" s="82">
        <v>5</v>
      </c>
      <c r="T18" s="82">
        <v>9</v>
      </c>
      <c r="U18" s="82">
        <v>0</v>
      </c>
      <c r="V18" s="82">
        <v>0</v>
      </c>
      <c r="W18" s="82">
        <v>2</v>
      </c>
      <c r="X18" s="82">
        <v>9</v>
      </c>
      <c r="Y18" s="82">
        <v>0</v>
      </c>
      <c r="Z18" s="82">
        <v>1</v>
      </c>
      <c r="AA18" s="82">
        <v>7</v>
      </c>
      <c r="AB18" s="82">
        <v>0</v>
      </c>
      <c r="AC18" s="82">
        <v>0</v>
      </c>
      <c r="AD18" s="82">
        <v>5</v>
      </c>
      <c r="AE18" s="82">
        <v>10</v>
      </c>
      <c r="AF18" s="82">
        <v>4</v>
      </c>
      <c r="AG18" s="82">
        <v>0</v>
      </c>
      <c r="AH18" s="82">
        <v>6</v>
      </c>
      <c r="AI18" s="82">
        <v>9</v>
      </c>
      <c r="AJ18" s="82">
        <v>0</v>
      </c>
      <c r="AK18" s="82">
        <v>0</v>
      </c>
      <c r="AL18" s="151">
        <v>8</v>
      </c>
      <c r="AM18" s="152">
        <f t="shared" si="27"/>
        <v>20</v>
      </c>
      <c r="AN18" s="153">
        <f t="shared" si="28"/>
        <v>14</v>
      </c>
      <c r="AO18" s="143"/>
      <c r="AP18" s="155">
        <v>15</v>
      </c>
      <c r="AQ18" s="136" t="s">
        <v>68</v>
      </c>
    </row>
    <row r="19" spans="3:43" ht="18" customHeight="1" thickBot="1" x14ac:dyDescent="0.25">
      <c r="C19" s="156" t="s">
        <v>103</v>
      </c>
      <c r="D19" s="157" t="s">
        <v>104</v>
      </c>
      <c r="E19" s="150">
        <v>9</v>
      </c>
      <c r="F19" s="169">
        <v>8</v>
      </c>
      <c r="G19" s="169">
        <v>0</v>
      </c>
      <c r="H19" s="169">
        <v>0</v>
      </c>
      <c r="I19" s="169">
        <v>3</v>
      </c>
      <c r="J19" s="82">
        <v>6</v>
      </c>
      <c r="K19" s="82">
        <v>2</v>
      </c>
      <c r="L19" s="82">
        <v>1</v>
      </c>
      <c r="M19" s="82">
        <v>0</v>
      </c>
      <c r="N19" s="82">
        <v>5</v>
      </c>
      <c r="O19" s="82">
        <v>8</v>
      </c>
      <c r="P19" s="82">
        <v>10</v>
      </c>
      <c r="Q19" s="82">
        <v>0</v>
      </c>
      <c r="R19" s="82">
        <v>7</v>
      </c>
      <c r="S19" s="82">
        <v>0</v>
      </c>
      <c r="T19" s="82">
        <v>0</v>
      </c>
      <c r="U19" s="82">
        <v>4</v>
      </c>
      <c r="V19" s="82">
        <v>0</v>
      </c>
      <c r="W19" s="82">
        <v>0</v>
      </c>
      <c r="X19" s="82">
        <v>10</v>
      </c>
      <c r="Y19" s="82">
        <v>1</v>
      </c>
      <c r="Z19" s="82">
        <v>0</v>
      </c>
      <c r="AA19" s="82">
        <v>0</v>
      </c>
      <c r="AB19" s="82">
        <v>5</v>
      </c>
      <c r="AC19" s="82">
        <v>10</v>
      </c>
      <c r="AD19" s="82">
        <v>0</v>
      </c>
      <c r="AE19" s="82">
        <v>0</v>
      </c>
      <c r="AF19" s="82">
        <v>7</v>
      </c>
      <c r="AG19" s="82">
        <v>4</v>
      </c>
      <c r="AH19" s="82">
        <v>9</v>
      </c>
      <c r="AI19" s="82">
        <v>0</v>
      </c>
      <c r="AJ19" s="82">
        <v>0</v>
      </c>
      <c r="AK19" s="82">
        <v>3</v>
      </c>
      <c r="AL19" s="151">
        <v>2</v>
      </c>
      <c r="AM19" s="152">
        <f t="shared" si="27"/>
        <v>20</v>
      </c>
      <c r="AN19" s="153">
        <f t="shared" si="28"/>
        <v>14</v>
      </c>
      <c r="AO19" s="143"/>
      <c r="AP19" s="155">
        <v>16</v>
      </c>
      <c r="AQ19" s="136" t="s">
        <v>82</v>
      </c>
    </row>
    <row r="20" spans="3:43" ht="18" customHeight="1" thickBot="1" x14ac:dyDescent="0.25">
      <c r="C20" s="167" t="s">
        <v>103</v>
      </c>
      <c r="D20" s="168" t="s">
        <v>104</v>
      </c>
      <c r="E20" s="171">
        <v>10</v>
      </c>
      <c r="F20" s="172">
        <v>9</v>
      </c>
      <c r="G20" s="172">
        <v>0</v>
      </c>
      <c r="H20" s="172">
        <v>2</v>
      </c>
      <c r="I20" s="172">
        <v>1</v>
      </c>
      <c r="J20" s="173">
        <v>7</v>
      </c>
      <c r="K20" s="173">
        <v>0</v>
      </c>
      <c r="L20" s="173">
        <v>0</v>
      </c>
      <c r="M20" s="173">
        <v>4</v>
      </c>
      <c r="N20" s="173">
        <v>10</v>
      </c>
      <c r="O20" s="173">
        <v>0</v>
      </c>
      <c r="P20" s="173">
        <v>0</v>
      </c>
      <c r="Q20" s="173">
        <v>3</v>
      </c>
      <c r="R20" s="173">
        <v>0</v>
      </c>
      <c r="S20" s="173">
        <v>0</v>
      </c>
      <c r="T20" s="173">
        <v>5</v>
      </c>
      <c r="U20" s="173">
        <v>7</v>
      </c>
      <c r="V20" s="173">
        <v>6</v>
      </c>
      <c r="W20" s="173">
        <v>0</v>
      </c>
      <c r="X20" s="173">
        <v>0</v>
      </c>
      <c r="Y20" s="173">
        <v>8</v>
      </c>
      <c r="Z20" s="173">
        <v>2</v>
      </c>
      <c r="AA20" s="173">
        <v>6</v>
      </c>
      <c r="AB20" s="173">
        <v>0</v>
      </c>
      <c r="AC20" s="173">
        <v>0</v>
      </c>
      <c r="AD20" s="173">
        <v>1</v>
      </c>
      <c r="AE20" s="173">
        <v>5</v>
      </c>
      <c r="AF20" s="173">
        <v>0</v>
      </c>
      <c r="AG20" s="173">
        <v>0</v>
      </c>
      <c r="AH20" s="173">
        <v>4</v>
      </c>
      <c r="AI20" s="173">
        <v>8</v>
      </c>
      <c r="AJ20" s="173">
        <v>3</v>
      </c>
      <c r="AK20" s="173">
        <v>0</v>
      </c>
      <c r="AL20" s="174">
        <v>0</v>
      </c>
      <c r="AM20" s="152">
        <f t="shared" si="27"/>
        <v>19</v>
      </c>
      <c r="AN20" s="153">
        <f t="shared" si="28"/>
        <v>15</v>
      </c>
      <c r="AO20" s="143"/>
      <c r="AP20" s="81"/>
      <c r="AQ20" s="81"/>
    </row>
    <row r="21" spans="3:43" ht="18" customHeight="1" x14ac:dyDescent="0.2">
      <c r="AN21" s="78"/>
      <c r="AO21" s="143"/>
      <c r="AP21" s="81"/>
      <c r="AQ21" s="81"/>
    </row>
  </sheetData>
  <mergeCells count="3">
    <mergeCell ref="C2:D2"/>
    <mergeCell ref="A1:B4"/>
    <mergeCell ref="A10:B13"/>
  </mergeCells>
  <phoneticPr fontId="23" type="noConversion"/>
  <conditionalFormatting sqref="V4:V5 V11 AC11:AG11 AG7:AJ7 T5:T6 AD8:AF8 T6:W6 AI8:AJ8">
    <cfRule type="cellIs" dxfId="338" priority="937" operator="equal">
      <formula>0</formula>
    </cfRule>
  </conditionalFormatting>
  <conditionalFormatting sqref="T10:AJ10 T9:AC9 T11:Y11 AC11:AJ11 AC8:AF8 AI8:AJ8 T12:AJ15 E3 M4:S5 J4:K9 T5:AJ7 M7:S13 N6:S6 J11:K20 M15:S17 N14:S14 T8:Y8 M19:AJ20 W18:AJ18 Q18:U18 AI9 AE9:AG9 T17:AJ17 W16:AJ16 T4:AL4 AK5:AL20">
    <cfRule type="cellIs" dxfId="337" priority="936" operator="equal">
      <formula>0</formula>
    </cfRule>
  </conditionalFormatting>
  <conditionalFormatting sqref="AH10">
    <cfRule type="cellIs" dxfId="336" priority="743" operator="equal">
      <formula>0</formula>
    </cfRule>
  </conditionalFormatting>
  <conditionalFormatting sqref="AH10">
    <cfRule type="cellIs" dxfId="335" priority="742" operator="equal">
      <formula>0</formula>
    </cfRule>
  </conditionalFormatting>
  <conditionalFormatting sqref="T10:AJ10 T9:AC9 T11:Y11 AC11:AJ11 AC8:AF8 AI8:AJ8 T5:AJ7 T8:Y8 AI9 AE9:AG9 T4:AL4 AK5:AL20">
    <cfRule type="cellIs" dxfId="334" priority="776" operator="equal">
      <formula>0</formula>
    </cfRule>
  </conditionalFormatting>
  <conditionalFormatting sqref="T10:AJ10 T9:AC9 T11:Y11 AC11:AJ11 AC8:AF8 AI8:AJ8 T5:AJ7 T8:Y8 AI9 AE9:AG9 T4:AL4 AK5:AL20">
    <cfRule type="cellIs" dxfId="333" priority="774" operator="equal">
      <formula>0</formula>
    </cfRule>
  </conditionalFormatting>
  <conditionalFormatting sqref="V10:AE10">
    <cfRule type="cellIs" dxfId="332" priority="756" operator="equal">
      <formula>0</formula>
    </cfRule>
  </conditionalFormatting>
  <conditionalFormatting sqref="Y10 V10 AA10:AE10">
    <cfRule type="cellIs" dxfId="331" priority="757" operator="equal">
      <formula>0</formula>
    </cfRule>
  </conditionalFormatting>
  <conditionalFormatting sqref="AF10:AG10">
    <cfRule type="cellIs" dxfId="330" priority="754" operator="equal">
      <formula>0</formula>
    </cfRule>
  </conditionalFormatting>
  <conditionalFormatting sqref="AF10:AG10">
    <cfRule type="cellIs" dxfId="329" priority="753" operator="equal">
      <formula>0</formula>
    </cfRule>
  </conditionalFormatting>
  <conditionalFormatting sqref="AH11">
    <cfRule type="cellIs" dxfId="328" priority="752" operator="equal">
      <formula>0</formula>
    </cfRule>
  </conditionalFormatting>
  <conditionalFormatting sqref="X14:AE14">
    <cfRule type="cellIs" dxfId="327" priority="728" operator="equal">
      <formula>0</formula>
    </cfRule>
  </conditionalFormatting>
  <conditionalFormatting sqref="Y14 AA14:AE14">
    <cfRule type="cellIs" dxfId="326" priority="729" operator="equal">
      <formula>0</formula>
    </cfRule>
  </conditionalFormatting>
  <conditionalFormatting sqref="AF14:AG14">
    <cfRule type="cellIs" dxfId="325" priority="726" operator="equal">
      <formula>0</formula>
    </cfRule>
  </conditionalFormatting>
  <conditionalFormatting sqref="AF14:AG14">
    <cfRule type="cellIs" dxfId="324" priority="725" operator="equal">
      <formula>0</formula>
    </cfRule>
  </conditionalFormatting>
  <conditionalFormatting sqref="AH14">
    <cfRule type="cellIs" dxfId="323" priority="724" operator="equal">
      <formula>0</formula>
    </cfRule>
  </conditionalFormatting>
  <conditionalFormatting sqref="AH14">
    <cfRule type="cellIs" dxfId="322" priority="723" operator="equal">
      <formula>0</formula>
    </cfRule>
  </conditionalFormatting>
  <conditionalFormatting sqref="Y15:AE15">
    <cfRule type="cellIs" dxfId="321" priority="718" operator="equal">
      <formula>0</formula>
    </cfRule>
  </conditionalFormatting>
  <conditionalFormatting sqref="Y15 AA15:AE15">
    <cfRule type="cellIs" dxfId="320" priority="719" operator="equal">
      <formula>0</formula>
    </cfRule>
  </conditionalFormatting>
  <conditionalFormatting sqref="AF15:AG15">
    <cfRule type="cellIs" dxfId="319" priority="716" operator="equal">
      <formula>0</formula>
    </cfRule>
  </conditionalFormatting>
  <conditionalFormatting sqref="AF15:AG15">
    <cfRule type="cellIs" dxfId="318" priority="715" operator="equal">
      <formula>0</formula>
    </cfRule>
  </conditionalFormatting>
  <conditionalFormatting sqref="AH15">
    <cfRule type="cellIs" dxfId="317" priority="714" operator="equal">
      <formula>0</formula>
    </cfRule>
  </conditionalFormatting>
  <conditionalFormatting sqref="AH15">
    <cfRule type="cellIs" dxfId="316" priority="713" operator="equal">
      <formula>0</formula>
    </cfRule>
  </conditionalFormatting>
  <conditionalFormatting sqref="Y20 AC20:AE20">
    <cfRule type="cellIs" dxfId="315" priority="708" operator="equal">
      <formula>0</formula>
    </cfRule>
  </conditionalFormatting>
  <conditionalFormatting sqref="Y20 AC20:AE20">
    <cfRule type="cellIs" dxfId="314" priority="709" operator="equal">
      <formula>0</formula>
    </cfRule>
  </conditionalFormatting>
  <conditionalFormatting sqref="AF20:AG20">
    <cfRule type="cellIs" dxfId="313" priority="706" operator="equal">
      <formula>0</formula>
    </cfRule>
  </conditionalFormatting>
  <conditionalFormatting sqref="AF20:AG20">
    <cfRule type="cellIs" dxfId="312" priority="705" operator="equal">
      <formula>0</formula>
    </cfRule>
  </conditionalFormatting>
  <conditionalFormatting sqref="AH20">
    <cfRule type="cellIs" dxfId="311" priority="704" operator="equal">
      <formula>0</formula>
    </cfRule>
  </conditionalFormatting>
  <conditionalFormatting sqref="AH20">
    <cfRule type="cellIs" dxfId="310" priority="703" operator="equal">
      <formula>0</formula>
    </cfRule>
  </conditionalFormatting>
  <conditionalFormatting sqref="AI5">
    <cfRule type="cellIs" dxfId="309" priority="658" operator="equal">
      <formula>0</formula>
    </cfRule>
  </conditionalFormatting>
  <conditionalFormatting sqref="W16:AE16">
    <cfRule type="cellIs" dxfId="308" priority="698" operator="equal">
      <formula>0</formula>
    </cfRule>
  </conditionalFormatting>
  <conditionalFormatting sqref="Y16 AA16:AE16">
    <cfRule type="cellIs" dxfId="307" priority="699" operator="equal">
      <formula>0</formula>
    </cfRule>
  </conditionalFormatting>
  <conditionalFormatting sqref="AF16:AG16">
    <cfRule type="cellIs" dxfId="306" priority="696" operator="equal">
      <formula>0</formula>
    </cfRule>
  </conditionalFormatting>
  <conditionalFormatting sqref="AF16:AG16">
    <cfRule type="cellIs" dxfId="305" priority="695" operator="equal">
      <formula>0</formula>
    </cfRule>
  </conditionalFormatting>
  <conditionalFormatting sqref="AH16">
    <cfRule type="cellIs" dxfId="304" priority="694" operator="equal">
      <formula>0</formula>
    </cfRule>
  </conditionalFormatting>
  <conditionalFormatting sqref="AH16">
    <cfRule type="cellIs" dxfId="303" priority="693" operator="equal">
      <formula>0</formula>
    </cfRule>
  </conditionalFormatting>
  <conditionalFormatting sqref="W18:X18 Z18:AE18">
    <cfRule type="cellIs" dxfId="302" priority="688" operator="equal">
      <formula>0</formula>
    </cfRule>
  </conditionalFormatting>
  <conditionalFormatting sqref="AA18:AE18">
    <cfRule type="cellIs" dxfId="301" priority="689" operator="equal">
      <formula>0</formula>
    </cfRule>
  </conditionalFormatting>
  <conditionalFormatting sqref="AG18">
    <cfRule type="cellIs" dxfId="300" priority="686" operator="equal">
      <formula>0</formula>
    </cfRule>
  </conditionalFormatting>
  <conditionalFormatting sqref="AG18">
    <cfRule type="cellIs" dxfId="299" priority="685" operator="equal">
      <formula>0</formula>
    </cfRule>
  </conditionalFormatting>
  <conditionalFormatting sqref="AH18">
    <cfRule type="cellIs" dxfId="298" priority="684" operator="equal">
      <formula>0</formula>
    </cfRule>
  </conditionalFormatting>
  <conditionalFormatting sqref="AH18">
    <cfRule type="cellIs" dxfId="297" priority="683" operator="equal">
      <formula>0</formula>
    </cfRule>
  </conditionalFormatting>
  <conditionalFormatting sqref="T18:U18 AG18:AH18 Z18:AE18 W18:X18">
    <cfRule type="cellIs" dxfId="296" priority="680" operator="equal">
      <formula>0</formula>
    </cfRule>
  </conditionalFormatting>
  <conditionalFormatting sqref="T18:U18 AG18:AH18 Z18:AE18 W18:X18">
    <cfRule type="cellIs" dxfId="295" priority="678" operator="equal">
      <formula>0</formula>
    </cfRule>
  </conditionalFormatting>
  <conditionalFormatting sqref="V17:AE17">
    <cfRule type="cellIs" dxfId="294" priority="668" operator="equal">
      <formula>0</formula>
    </cfRule>
  </conditionalFormatting>
  <conditionalFormatting sqref="Y17 V17 AA17:AE17">
    <cfRule type="cellIs" dxfId="293" priority="669" operator="equal">
      <formula>0</formula>
    </cfRule>
  </conditionalFormatting>
  <conditionalFormatting sqref="AF17:AG17">
    <cfRule type="cellIs" dxfId="292" priority="666" operator="equal">
      <formula>0</formula>
    </cfRule>
  </conditionalFormatting>
  <conditionalFormatting sqref="AF17:AG17">
    <cfRule type="cellIs" dxfId="291" priority="665" operator="equal">
      <formula>0</formula>
    </cfRule>
  </conditionalFormatting>
  <conditionalFormatting sqref="AH17">
    <cfRule type="cellIs" dxfId="290" priority="664" operator="equal">
      <formula>0</formula>
    </cfRule>
  </conditionalFormatting>
  <conditionalFormatting sqref="AH17">
    <cfRule type="cellIs" dxfId="289" priority="663" operator="equal">
      <formula>0</formula>
    </cfRule>
  </conditionalFormatting>
  <conditionalFormatting sqref="AI5">
    <cfRule type="cellIs" dxfId="288" priority="659" operator="equal">
      <formula>0</formula>
    </cfRule>
  </conditionalFormatting>
  <conditionalFormatting sqref="AI11">
    <cfRule type="cellIs" dxfId="287" priority="657" operator="equal">
      <formula>0</formula>
    </cfRule>
  </conditionalFormatting>
  <conditionalFormatting sqref="AI10">
    <cfRule type="cellIs" dxfId="286" priority="650" operator="equal">
      <formula>0</formula>
    </cfRule>
  </conditionalFormatting>
  <conditionalFormatting sqref="AI10">
    <cfRule type="cellIs" dxfId="285" priority="649" operator="equal">
      <formula>0</formula>
    </cfRule>
  </conditionalFormatting>
  <conditionalFormatting sqref="AI14">
    <cfRule type="cellIs" dxfId="284" priority="648" operator="equal">
      <formula>0</formula>
    </cfRule>
  </conditionalFormatting>
  <conditionalFormatting sqref="AI14">
    <cfRule type="cellIs" dxfId="283" priority="647" operator="equal">
      <formula>0</formula>
    </cfRule>
  </conditionalFormatting>
  <conditionalFormatting sqref="AI15">
    <cfRule type="cellIs" dxfId="282" priority="646" operator="equal">
      <formula>0</formula>
    </cfRule>
  </conditionalFormatting>
  <conditionalFormatting sqref="AI15">
    <cfRule type="cellIs" dxfId="281" priority="645" operator="equal">
      <formula>0</formula>
    </cfRule>
  </conditionalFormatting>
  <conditionalFormatting sqref="AI20">
    <cfRule type="cellIs" dxfId="280" priority="644" operator="equal">
      <formula>0</formula>
    </cfRule>
  </conditionalFormatting>
  <conditionalFormatting sqref="AI20">
    <cfRule type="cellIs" dxfId="279" priority="643" operator="equal">
      <formula>0</formula>
    </cfRule>
  </conditionalFormatting>
  <conditionalFormatting sqref="AI16">
    <cfRule type="cellIs" dxfId="278" priority="642" operator="equal">
      <formula>0</formula>
    </cfRule>
  </conditionalFormatting>
  <conditionalFormatting sqref="AI16">
    <cfRule type="cellIs" dxfId="277" priority="641" operator="equal">
      <formula>0</formula>
    </cfRule>
  </conditionalFormatting>
  <conditionalFormatting sqref="AI18">
    <cfRule type="cellIs" dxfId="276" priority="640" operator="equal">
      <formula>0</formula>
    </cfRule>
  </conditionalFormatting>
  <conditionalFormatting sqref="AI18">
    <cfRule type="cellIs" dxfId="275" priority="639" operator="equal">
      <formula>0</formula>
    </cfRule>
  </conditionalFormatting>
  <conditionalFormatting sqref="AI17">
    <cfRule type="cellIs" dxfId="274" priority="638" operator="equal">
      <formula>0</formula>
    </cfRule>
  </conditionalFormatting>
  <conditionalFormatting sqref="AI17">
    <cfRule type="cellIs" dxfId="273" priority="637" operator="equal">
      <formula>0</formula>
    </cfRule>
  </conditionalFormatting>
  <conditionalFormatting sqref="AI17">
    <cfRule type="cellIs" dxfId="272" priority="634" operator="equal">
      <formula>0</formula>
    </cfRule>
  </conditionalFormatting>
  <conditionalFormatting sqref="AI17">
    <cfRule type="cellIs" dxfId="271" priority="633" operator="equal">
      <formula>0</formula>
    </cfRule>
  </conditionalFormatting>
  <conditionalFormatting sqref="AJ5">
    <cfRule type="cellIs" dxfId="270" priority="631" operator="equal">
      <formula>0</formula>
    </cfRule>
  </conditionalFormatting>
  <conditionalFormatting sqref="AJ5">
    <cfRule type="cellIs" dxfId="269" priority="630" operator="equal">
      <formula>0</formula>
    </cfRule>
  </conditionalFormatting>
  <conditionalFormatting sqref="AJ11">
    <cfRule type="cellIs" dxfId="268" priority="629" operator="equal">
      <formula>0</formula>
    </cfRule>
  </conditionalFormatting>
  <conditionalFormatting sqref="AJ10">
    <cfRule type="cellIs" dxfId="267" priority="622" operator="equal">
      <formula>0</formula>
    </cfRule>
  </conditionalFormatting>
  <conditionalFormatting sqref="AJ10">
    <cfRule type="cellIs" dxfId="266" priority="621" operator="equal">
      <formula>0</formula>
    </cfRule>
  </conditionalFormatting>
  <conditionalFormatting sqref="AJ14">
    <cfRule type="cellIs" dxfId="265" priority="620" operator="equal">
      <formula>0</formula>
    </cfRule>
  </conditionalFormatting>
  <conditionalFormatting sqref="AJ14">
    <cfRule type="cellIs" dxfId="264" priority="619" operator="equal">
      <formula>0</formula>
    </cfRule>
  </conditionalFormatting>
  <conditionalFormatting sqref="AJ15">
    <cfRule type="cellIs" dxfId="263" priority="618" operator="equal">
      <formula>0</formula>
    </cfRule>
  </conditionalFormatting>
  <conditionalFormatting sqref="AJ15">
    <cfRule type="cellIs" dxfId="262" priority="617" operator="equal">
      <formula>0</formula>
    </cfRule>
  </conditionalFormatting>
  <conditionalFormatting sqref="AJ20">
    <cfRule type="cellIs" dxfId="261" priority="616" operator="equal">
      <formula>0</formula>
    </cfRule>
  </conditionalFormatting>
  <conditionalFormatting sqref="AJ20">
    <cfRule type="cellIs" dxfId="260" priority="615" operator="equal">
      <formula>0</formula>
    </cfRule>
  </conditionalFormatting>
  <conditionalFormatting sqref="AJ16">
    <cfRule type="cellIs" dxfId="259" priority="614" operator="equal">
      <formula>0</formula>
    </cfRule>
  </conditionalFormatting>
  <conditionalFormatting sqref="AJ16">
    <cfRule type="cellIs" dxfId="258" priority="613" operator="equal">
      <formula>0</formula>
    </cfRule>
  </conditionalFormatting>
  <conditionalFormatting sqref="AJ18">
    <cfRule type="cellIs" dxfId="257" priority="612" operator="equal">
      <formula>0</formula>
    </cfRule>
  </conditionalFormatting>
  <conditionalFormatting sqref="AJ18">
    <cfRule type="cellIs" dxfId="256" priority="611" operator="equal">
      <formula>0</formula>
    </cfRule>
  </conditionalFormatting>
  <conditionalFormatting sqref="AJ17">
    <cfRule type="cellIs" dxfId="255" priority="610" operator="equal">
      <formula>0</formula>
    </cfRule>
  </conditionalFormatting>
  <conditionalFormatting sqref="AJ17">
    <cfRule type="cellIs" dxfId="254" priority="609" operator="equal">
      <formula>0</formula>
    </cfRule>
  </conditionalFormatting>
  <conditionalFormatting sqref="AJ17">
    <cfRule type="cellIs" dxfId="253" priority="606" operator="equal">
      <formula>0</formula>
    </cfRule>
  </conditionalFormatting>
  <conditionalFormatting sqref="AJ17">
    <cfRule type="cellIs" dxfId="252" priority="605" operator="equal">
      <formula>0</formula>
    </cfRule>
  </conditionalFormatting>
  <conditionalFormatting sqref="AF4:AL4 AK5:AL20">
    <cfRule type="cellIs" dxfId="251" priority="576" operator="equal">
      <formula>0</formula>
    </cfRule>
  </conditionalFormatting>
  <conditionalFormatting sqref="AF4:AL4 AK5:AL20">
    <cfRule type="cellIs" dxfId="250" priority="575" operator="equal">
      <formula>0</formula>
    </cfRule>
  </conditionalFormatting>
  <conditionalFormatting sqref="AF4:AL4 AK5:AL20">
    <cfRule type="cellIs" dxfId="249" priority="574" operator="equal">
      <formula>0</formula>
    </cfRule>
  </conditionalFormatting>
  <conditionalFormatting sqref="E3">
    <cfRule type="cellIs" dxfId="248" priority="568" operator="equal">
      <formula>0</formula>
    </cfRule>
  </conditionalFormatting>
  <conditionalFormatting sqref="T19:AH19">
    <cfRule type="cellIs" dxfId="247" priority="554" operator="equal">
      <formula>0</formula>
    </cfRule>
  </conditionalFormatting>
  <conditionalFormatting sqref="V19:AE19">
    <cfRule type="cellIs" dxfId="246" priority="549" operator="equal">
      <formula>0</formula>
    </cfRule>
  </conditionalFormatting>
  <conditionalFormatting sqref="Y19 V19 AA19:AE19">
    <cfRule type="cellIs" dxfId="245" priority="550" operator="equal">
      <formula>0</formula>
    </cfRule>
  </conditionalFormatting>
  <conditionalFormatting sqref="AF19:AG19">
    <cfRule type="cellIs" dxfId="244" priority="548" operator="equal">
      <formula>0</formula>
    </cfRule>
  </conditionalFormatting>
  <conditionalFormatting sqref="AF19:AG19">
    <cfRule type="cellIs" dxfId="243" priority="547" operator="equal">
      <formula>0</formula>
    </cfRule>
  </conditionalFormatting>
  <conditionalFormatting sqref="AH19">
    <cfRule type="cellIs" dxfId="242" priority="546" operator="equal">
      <formula>0</formula>
    </cfRule>
  </conditionalFormatting>
  <conditionalFormatting sqref="AH19">
    <cfRule type="cellIs" dxfId="241" priority="545" operator="equal">
      <formula>0</formula>
    </cfRule>
  </conditionalFormatting>
  <conditionalFormatting sqref="AI19">
    <cfRule type="cellIs" dxfId="240" priority="542" operator="equal">
      <formula>0</formula>
    </cfRule>
  </conditionalFormatting>
  <conditionalFormatting sqref="AI19">
    <cfRule type="cellIs" dxfId="239" priority="541" operator="equal">
      <formula>0</formula>
    </cfRule>
  </conditionalFormatting>
  <conditionalFormatting sqref="AI19">
    <cfRule type="cellIs" dxfId="238" priority="540" operator="equal">
      <formula>0</formula>
    </cfRule>
  </conditionalFormatting>
  <conditionalFormatting sqref="AI19">
    <cfRule type="cellIs" dxfId="237" priority="539" operator="equal">
      <formula>0</formula>
    </cfRule>
  </conditionalFormatting>
  <conditionalFormatting sqref="AJ19">
    <cfRule type="cellIs" dxfId="236" priority="538" operator="equal">
      <formula>0</formula>
    </cfRule>
  </conditionalFormatting>
  <conditionalFormatting sqref="AJ19">
    <cfRule type="cellIs" dxfId="235" priority="537" operator="equal">
      <formula>0</formula>
    </cfRule>
  </conditionalFormatting>
  <conditionalFormatting sqref="AJ19">
    <cfRule type="cellIs" dxfId="234" priority="536" operator="equal">
      <formula>0</formula>
    </cfRule>
  </conditionalFormatting>
  <conditionalFormatting sqref="AJ19">
    <cfRule type="cellIs" dxfId="233" priority="535" operator="equal">
      <formula>0</formula>
    </cfRule>
  </conditionalFormatting>
  <conditionalFormatting sqref="U15">
    <cfRule type="cellIs" dxfId="232" priority="476" operator="equal">
      <formula>0</formula>
    </cfRule>
  </conditionalFormatting>
  <conditionalFormatting sqref="T14">
    <cfRule type="cellIs" dxfId="231" priority="490" operator="equal">
      <formula>0</formula>
    </cfRule>
  </conditionalFormatting>
  <conditionalFormatting sqref="AB6:AG6">
    <cfRule type="cellIs" dxfId="230" priority="453" operator="equal">
      <formula>0</formula>
    </cfRule>
  </conditionalFormatting>
  <conditionalFormatting sqref="T7">
    <cfRule type="cellIs" dxfId="229" priority="483" operator="equal">
      <formula>0</formula>
    </cfRule>
  </conditionalFormatting>
  <conditionalFormatting sqref="T13">
    <cfRule type="cellIs" dxfId="228" priority="482" operator="equal">
      <formula>0</formula>
    </cfRule>
  </conditionalFormatting>
  <conditionalFormatting sqref="AF7">
    <cfRule type="cellIs" dxfId="227" priority="447" operator="equal">
      <formula>0</formula>
    </cfRule>
  </conditionalFormatting>
  <conditionalFormatting sqref="AF7">
    <cfRule type="cellIs" dxfId="226" priority="448" operator="equal">
      <formula>0</formula>
    </cfRule>
  </conditionalFormatting>
  <conditionalFormatting sqref="AG6">
    <cfRule type="cellIs" dxfId="225" priority="459" operator="equal">
      <formula>0</formula>
    </cfRule>
  </conditionalFormatting>
  <conditionalFormatting sqref="V17">
    <cfRule type="cellIs" dxfId="224" priority="470" operator="equal">
      <formula>0</formula>
    </cfRule>
  </conditionalFormatting>
  <conditionalFormatting sqref="T14">
    <cfRule type="cellIs" dxfId="223" priority="481" operator="equal">
      <formula>0</formula>
    </cfRule>
  </conditionalFormatting>
  <conditionalFormatting sqref="T15">
    <cfRule type="cellIs" dxfId="222" priority="479" operator="equal">
      <formula>0</formula>
    </cfRule>
  </conditionalFormatting>
  <conditionalFormatting sqref="T15">
    <cfRule type="cellIs" dxfId="221" priority="480" operator="equal">
      <formula>0</formula>
    </cfRule>
  </conditionalFormatting>
  <conditionalFormatting sqref="U8">
    <cfRule type="cellIs" dxfId="220" priority="478" operator="equal">
      <formula>0</formula>
    </cfRule>
  </conditionalFormatting>
  <conditionalFormatting sqref="U14">
    <cfRule type="cellIs" dxfId="219" priority="477" operator="equal">
      <formula>0</formula>
    </cfRule>
  </conditionalFormatting>
  <conditionalFormatting sqref="V9">
    <cfRule type="cellIs" dxfId="218" priority="473" operator="equal">
      <formula>0</formula>
    </cfRule>
  </conditionalFormatting>
  <conditionalFormatting sqref="V15">
    <cfRule type="cellIs" dxfId="217" priority="472" operator="equal">
      <formula>0</formula>
    </cfRule>
  </conditionalFormatting>
  <conditionalFormatting sqref="V17">
    <cfRule type="cellIs" dxfId="216" priority="469" operator="equal">
      <formula>0</formula>
    </cfRule>
  </conditionalFormatting>
  <conditionalFormatting sqref="W10">
    <cfRule type="cellIs" dxfId="215" priority="468" operator="equal">
      <formula>0</formula>
    </cfRule>
  </conditionalFormatting>
  <conditionalFormatting sqref="W16">
    <cfRule type="cellIs" dxfId="214" priority="467" operator="equal">
      <formula>0</formula>
    </cfRule>
  </conditionalFormatting>
  <conditionalFormatting sqref="W17">
    <cfRule type="cellIs" dxfId="213" priority="466" operator="equal">
      <formula>0</formula>
    </cfRule>
  </conditionalFormatting>
  <conditionalFormatting sqref="W18">
    <cfRule type="cellIs" dxfId="212" priority="464" operator="equal">
      <formula>0</formula>
    </cfRule>
  </conditionalFormatting>
  <conditionalFormatting sqref="W18">
    <cfRule type="cellIs" dxfId="211" priority="465" operator="equal">
      <formula>0</formula>
    </cfRule>
  </conditionalFormatting>
  <conditionalFormatting sqref="AD5:AI5">
    <cfRule type="cellIs" dxfId="210" priority="463" operator="equal">
      <formula>0</formula>
    </cfRule>
  </conditionalFormatting>
  <conditionalFormatting sqref="AD5:AI5">
    <cfRule type="cellIs" dxfId="209" priority="462" operator="equal">
      <formula>0</formula>
    </cfRule>
  </conditionalFormatting>
  <conditionalFormatting sqref="AD5:AI5">
    <cfRule type="cellIs" dxfId="208" priority="461" operator="equal">
      <formula>0</formula>
    </cfRule>
  </conditionalFormatting>
  <conditionalFormatting sqref="AG6">
    <cfRule type="cellIs" dxfId="207" priority="460" operator="equal">
      <formula>0</formula>
    </cfRule>
  </conditionalFormatting>
  <conditionalFormatting sqref="AH6">
    <cfRule type="cellIs" dxfId="206" priority="458" operator="equal">
      <formula>0</formula>
    </cfRule>
  </conditionalFormatting>
  <conditionalFormatting sqref="AH6">
    <cfRule type="cellIs" dxfId="205" priority="457" operator="equal">
      <formula>0</formula>
    </cfRule>
  </conditionalFormatting>
  <conditionalFormatting sqref="AI6">
    <cfRule type="cellIs" dxfId="204" priority="456" operator="equal">
      <formula>0</formula>
    </cfRule>
  </conditionalFormatting>
  <conditionalFormatting sqref="AI6">
    <cfRule type="cellIs" dxfId="203" priority="455" operator="equal">
      <formula>0</formula>
    </cfRule>
  </conditionalFormatting>
  <conditionalFormatting sqref="AB6:AG6">
    <cfRule type="cellIs" dxfId="202" priority="454" operator="equal">
      <formula>0</formula>
    </cfRule>
  </conditionalFormatting>
  <conditionalFormatting sqref="AE7">
    <cfRule type="cellIs" dxfId="201" priority="449" operator="equal">
      <formula>0</formula>
    </cfRule>
  </conditionalFormatting>
  <conditionalFormatting sqref="AB6:AG6">
    <cfRule type="cellIs" dxfId="200" priority="452" operator="equal">
      <formula>0</formula>
    </cfRule>
  </conditionalFormatting>
  <conditionalFormatting sqref="T7:U7">
    <cfRule type="cellIs" dxfId="199" priority="451" operator="equal">
      <formula>0</formula>
    </cfRule>
  </conditionalFormatting>
  <conditionalFormatting sqref="AE7">
    <cfRule type="cellIs" dxfId="198" priority="450" operator="equal">
      <formula>0</formula>
    </cfRule>
  </conditionalFormatting>
  <conditionalFormatting sqref="AG7">
    <cfRule type="cellIs" dxfId="197" priority="445" operator="equal">
      <formula>0</formula>
    </cfRule>
  </conditionalFormatting>
  <conditionalFormatting sqref="Z7:AE7">
    <cfRule type="cellIs" dxfId="196" priority="444" operator="equal">
      <formula>0</formula>
    </cfRule>
  </conditionalFormatting>
  <conditionalFormatting sqref="Z7:AE7">
    <cfRule type="cellIs" dxfId="195" priority="443" operator="equal">
      <formula>0</formula>
    </cfRule>
  </conditionalFormatting>
  <conditionalFormatting sqref="AG7">
    <cfRule type="cellIs" dxfId="194" priority="446" operator="equal">
      <formula>0</formula>
    </cfRule>
  </conditionalFormatting>
  <conditionalFormatting sqref="AC8">
    <cfRule type="cellIs" dxfId="193" priority="440" operator="equal">
      <formula>0</formula>
    </cfRule>
  </conditionalFormatting>
  <conditionalFormatting sqref="AC8">
    <cfRule type="cellIs" dxfId="192" priority="439" operator="equal">
      <formula>0</formula>
    </cfRule>
  </conditionalFormatting>
  <conditionalFormatting sqref="Z7:AE7">
    <cfRule type="cellIs" dxfId="191" priority="442" operator="equal">
      <formula>0</formula>
    </cfRule>
  </conditionalFormatting>
  <conditionalFormatting sqref="AD8">
    <cfRule type="cellIs" dxfId="190" priority="438" operator="equal">
      <formula>0</formula>
    </cfRule>
  </conditionalFormatting>
  <conditionalFormatting sqref="AD8">
    <cfRule type="cellIs" dxfId="189" priority="437" operator="equal">
      <formula>0</formula>
    </cfRule>
  </conditionalFormatting>
  <conditionalFormatting sqref="AE8">
    <cfRule type="cellIs" dxfId="188" priority="436" operator="equal">
      <formula>0</formula>
    </cfRule>
  </conditionalFormatting>
  <conditionalFormatting sqref="AE8">
    <cfRule type="cellIs" dxfId="187" priority="435" operator="equal">
      <formula>0</formula>
    </cfRule>
  </conditionalFormatting>
  <conditionalFormatting sqref="X8:Y8 AC8">
    <cfRule type="cellIs" dxfId="186" priority="434" operator="equal">
      <formula>0</formula>
    </cfRule>
  </conditionalFormatting>
  <conditionalFormatting sqref="X8:Y8 AC8">
    <cfRule type="cellIs" dxfId="185" priority="433" operator="equal">
      <formula>0</formula>
    </cfRule>
  </conditionalFormatting>
  <conditionalFormatting sqref="X8:Y8 AC8">
    <cfRule type="cellIs" dxfId="184" priority="432" operator="equal">
      <formula>0</formula>
    </cfRule>
  </conditionalFormatting>
  <conditionalFormatting sqref="W5">
    <cfRule type="cellIs" dxfId="183" priority="431" operator="equal">
      <formula>0</formula>
    </cfRule>
  </conditionalFormatting>
  <conditionalFormatting sqref="AG5:AJ5">
    <cfRule type="cellIs" dxfId="182" priority="430" operator="equal">
      <formula>0</formula>
    </cfRule>
  </conditionalFormatting>
  <conditionalFormatting sqref="AG5:AJ5">
    <cfRule type="cellIs" dxfId="181" priority="429" operator="equal">
      <formula>0</formula>
    </cfRule>
  </conditionalFormatting>
  <conditionalFormatting sqref="AG5:AJ5">
    <cfRule type="cellIs" dxfId="180" priority="428" operator="equal">
      <formula>0</formula>
    </cfRule>
  </conditionalFormatting>
  <conditionalFormatting sqref="W5">
    <cfRule type="cellIs" dxfId="179" priority="427" operator="equal">
      <formula>0</formula>
    </cfRule>
  </conditionalFormatting>
  <conditionalFormatting sqref="AG5:AJ5">
    <cfRule type="cellIs" dxfId="178" priority="426" operator="equal">
      <formula>0</formula>
    </cfRule>
  </conditionalFormatting>
  <conditionalFormatting sqref="AG5:AJ5">
    <cfRule type="cellIs" dxfId="177" priority="425" operator="equal">
      <formula>0</formula>
    </cfRule>
  </conditionalFormatting>
  <conditionalFormatting sqref="AG5:AJ5">
    <cfRule type="cellIs" dxfId="176" priority="424" operator="equal">
      <formula>0</formula>
    </cfRule>
  </conditionalFormatting>
  <conditionalFormatting sqref="W5">
    <cfRule type="cellIs" dxfId="175" priority="423" operator="equal">
      <formula>0</formula>
    </cfRule>
  </conditionalFormatting>
  <conditionalFormatting sqref="AG5:AJ5">
    <cfRule type="cellIs" dxfId="174" priority="422" operator="equal">
      <formula>0</formula>
    </cfRule>
  </conditionalFormatting>
  <conditionalFormatting sqref="AG5:AJ5">
    <cfRule type="cellIs" dxfId="173" priority="421" operator="equal">
      <formula>0</formula>
    </cfRule>
  </conditionalFormatting>
  <conditionalFormatting sqref="AG5:AJ5">
    <cfRule type="cellIs" dxfId="172" priority="420" operator="equal">
      <formula>0</formula>
    </cfRule>
  </conditionalFormatting>
  <conditionalFormatting sqref="X6">
    <cfRule type="cellIs" dxfId="171" priority="419" operator="equal">
      <formula>0</formula>
    </cfRule>
  </conditionalFormatting>
  <conditionalFormatting sqref="AH6:AJ6">
    <cfRule type="cellIs" dxfId="170" priority="418" operator="equal">
      <formula>0</formula>
    </cfRule>
  </conditionalFormatting>
  <conditionalFormatting sqref="AH6:AJ6">
    <cfRule type="cellIs" dxfId="169" priority="417" operator="equal">
      <formula>0</formula>
    </cfRule>
  </conditionalFormatting>
  <conditionalFormatting sqref="AH6:AJ6">
    <cfRule type="cellIs" dxfId="168" priority="416" operator="equal">
      <formula>0</formula>
    </cfRule>
  </conditionalFormatting>
  <conditionalFormatting sqref="AG6:AJ6">
    <cfRule type="cellIs" dxfId="167" priority="415" operator="equal">
      <formula>0</formula>
    </cfRule>
  </conditionalFormatting>
  <conditionalFormatting sqref="AG6:AJ6">
    <cfRule type="cellIs" dxfId="166" priority="414" operator="equal">
      <formula>0</formula>
    </cfRule>
  </conditionalFormatting>
  <conditionalFormatting sqref="AG6:AJ6">
    <cfRule type="cellIs" dxfId="165" priority="413" operator="equal">
      <formula>0</formula>
    </cfRule>
  </conditionalFormatting>
  <conditionalFormatting sqref="E3:AL10">
    <cfRule type="cellIs" dxfId="164" priority="332" operator="equal">
      <formula>0</formula>
    </cfRule>
  </conditionalFormatting>
  <conditionalFormatting sqref="AL4:AL20">
    <cfRule type="cellIs" dxfId="163" priority="298" operator="equal">
      <formula>0</formula>
    </cfRule>
  </conditionalFormatting>
  <conditionalFormatting sqref="E3:AL10">
    <cfRule type="cellIs" dxfId="162" priority="331" operator="equal">
      <formula>0</formula>
    </cfRule>
  </conditionalFormatting>
  <conditionalFormatting sqref="E3:AL10">
    <cfRule type="cellIs" dxfId="161" priority="330" operator="equal">
      <formula>0</formula>
    </cfRule>
  </conditionalFormatting>
  <conditionalFormatting sqref="E3:AL10">
    <cfRule type="cellIs" dxfId="160" priority="329" operator="equal">
      <formula>0</formula>
    </cfRule>
  </conditionalFormatting>
  <conditionalFormatting sqref="AL4:AL20">
    <cfRule type="cellIs" dxfId="159" priority="296" operator="equal">
      <formula>0</formula>
    </cfRule>
  </conditionalFormatting>
  <conditionalFormatting sqref="AL4:AL20">
    <cfRule type="cellIs" dxfId="158" priority="300" operator="equal">
      <formula>0</formula>
    </cfRule>
  </conditionalFormatting>
  <conditionalFormatting sqref="AL4:AL20">
    <cfRule type="cellIs" dxfId="157" priority="301" operator="equal">
      <formula>0</formula>
    </cfRule>
  </conditionalFormatting>
  <conditionalFormatting sqref="AL4:AL20">
    <cfRule type="cellIs" dxfId="156" priority="299" operator="equal">
      <formula>0</formula>
    </cfRule>
  </conditionalFormatting>
  <conditionalFormatting sqref="AL4:AL20">
    <cfRule type="cellIs" dxfId="155" priority="292" operator="equal">
      <formula>0</formula>
    </cfRule>
  </conditionalFormatting>
  <conditionalFormatting sqref="AL4:AL20">
    <cfRule type="cellIs" dxfId="154" priority="291" operator="equal">
      <formula>0</formula>
    </cfRule>
  </conditionalFormatting>
  <conditionalFormatting sqref="AL4:AL20">
    <cfRule type="cellIs" dxfId="153" priority="297" operator="equal">
      <formula>0</formula>
    </cfRule>
  </conditionalFormatting>
  <conditionalFormatting sqref="AL4:AL20">
    <cfRule type="cellIs" dxfId="152" priority="295" operator="equal">
      <formula>0</formula>
    </cfRule>
  </conditionalFormatting>
  <conditionalFormatting sqref="AL4:AL20">
    <cfRule type="cellIs" dxfId="151" priority="294" operator="equal">
      <formula>0</formula>
    </cfRule>
  </conditionalFormatting>
  <conditionalFormatting sqref="AL4:AL20">
    <cfRule type="cellIs" dxfId="150" priority="293" operator="equal">
      <formula>0</formula>
    </cfRule>
  </conditionalFormatting>
  <conditionalFormatting sqref="AJ9">
    <cfRule type="cellIs" dxfId="149" priority="289" operator="equal">
      <formula>0</formula>
    </cfRule>
  </conditionalFormatting>
  <conditionalFormatting sqref="AJ9">
    <cfRule type="cellIs" dxfId="148" priority="288" operator="equal">
      <formula>0</formula>
    </cfRule>
  </conditionalFormatting>
  <conditionalFormatting sqref="AJ9">
    <cfRule type="cellIs" dxfId="147" priority="287" operator="equal">
      <formula>0</formula>
    </cfRule>
  </conditionalFormatting>
  <conditionalFormatting sqref="F4:G20 F3">
    <cfRule type="cellIs" dxfId="146" priority="286" operator="equal">
      <formula>0</formula>
    </cfRule>
  </conditionalFormatting>
  <conditionalFormatting sqref="F4:G20 F3">
    <cfRule type="cellIs" dxfId="145" priority="285" operator="equal">
      <formula>0</formula>
    </cfRule>
  </conditionalFormatting>
  <conditionalFormatting sqref="AL3">
    <cfRule type="cellIs" dxfId="144" priority="278" operator="equal">
      <formula>0</formula>
    </cfRule>
  </conditionalFormatting>
  <conditionalFormatting sqref="AL3">
    <cfRule type="cellIs" dxfId="143" priority="277" operator="equal">
      <formula>0</formula>
    </cfRule>
  </conditionalFormatting>
  <conditionalFormatting sqref="E4:E20">
    <cfRule type="cellIs" dxfId="142" priority="276" operator="equal">
      <formula>0</formula>
    </cfRule>
  </conditionalFormatting>
  <conditionalFormatting sqref="E4:E20">
    <cfRule type="cellIs" dxfId="141" priority="275" operator="equal">
      <formula>0</formula>
    </cfRule>
  </conditionalFormatting>
  <conditionalFormatting sqref="L4:L8 L10:L20">
    <cfRule type="cellIs" dxfId="140" priority="274" operator="equal">
      <formula>0</formula>
    </cfRule>
  </conditionalFormatting>
  <conditionalFormatting sqref="M6">
    <cfRule type="cellIs" dxfId="139" priority="252" operator="equal">
      <formula>0</formula>
    </cfRule>
  </conditionalFormatting>
  <conditionalFormatting sqref="M18">
    <cfRule type="cellIs" dxfId="138" priority="253" operator="equal">
      <formula>0</formula>
    </cfRule>
  </conditionalFormatting>
  <conditionalFormatting sqref="V8:Y8">
    <cfRule type="cellIs" dxfId="137" priority="254" operator="equal">
      <formula>0</formula>
    </cfRule>
  </conditionalFormatting>
  <conditionalFormatting sqref="P18">
    <cfRule type="cellIs" dxfId="136" priority="250" operator="equal">
      <formula>0</formula>
    </cfRule>
  </conditionalFormatting>
  <conditionalFormatting sqref="O18">
    <cfRule type="cellIs" dxfId="135" priority="249" operator="equal">
      <formula>0</formula>
    </cfRule>
  </conditionalFormatting>
  <conditionalFormatting sqref="N18">
    <cfRule type="cellIs" dxfId="134" priority="248" operator="equal">
      <formula>0</formula>
    </cfRule>
  </conditionalFormatting>
  <conditionalFormatting sqref="M14">
    <cfRule type="cellIs" dxfId="133" priority="247" operator="equal">
      <formula>0</formula>
    </cfRule>
  </conditionalFormatting>
  <conditionalFormatting sqref="K10">
    <cfRule type="cellIs" dxfId="132" priority="246" operator="equal">
      <formula>0</formula>
    </cfRule>
  </conditionalFormatting>
  <conditionalFormatting sqref="L9">
    <cfRule type="cellIs" dxfId="131" priority="245" operator="equal">
      <formula>0</formula>
    </cfRule>
  </conditionalFormatting>
  <conditionalFormatting sqref="Z8">
    <cfRule type="cellIs" dxfId="130" priority="244" operator="equal">
      <formula>0</formula>
    </cfRule>
  </conditionalFormatting>
  <conditionalFormatting sqref="AA8">
    <cfRule type="cellIs" dxfId="129" priority="243" operator="equal">
      <formula>0</formula>
    </cfRule>
  </conditionalFormatting>
  <conditionalFormatting sqref="AB8">
    <cfRule type="cellIs" dxfId="128" priority="242" operator="equal">
      <formula>0</formula>
    </cfRule>
  </conditionalFormatting>
  <conditionalFormatting sqref="AG8">
    <cfRule type="cellIs" dxfId="127" priority="241" operator="equal">
      <formula>0</formula>
    </cfRule>
  </conditionalFormatting>
  <conditionalFormatting sqref="AH8">
    <cfRule type="cellIs" dxfId="126" priority="240" operator="equal">
      <formula>0</formula>
    </cfRule>
  </conditionalFormatting>
  <conditionalFormatting sqref="AD9">
    <cfRule type="cellIs" dxfId="125" priority="239" operator="equal">
      <formula>0</formula>
    </cfRule>
  </conditionalFormatting>
  <conditionalFormatting sqref="AH9">
    <cfRule type="cellIs" dxfId="124" priority="238" operator="equal">
      <formula>0</formula>
    </cfRule>
  </conditionalFormatting>
  <conditionalFormatting sqref="AB11">
    <cfRule type="cellIs" dxfId="123" priority="236" operator="equal">
      <formula>0</formula>
    </cfRule>
  </conditionalFormatting>
  <conditionalFormatting sqref="AA11">
    <cfRule type="cellIs" dxfId="122" priority="235" operator="equal">
      <formula>0</formula>
    </cfRule>
  </conditionalFormatting>
  <conditionalFormatting sqref="Z11">
    <cfRule type="cellIs" dxfId="121" priority="234" operator="equal">
      <formula>0</formula>
    </cfRule>
  </conditionalFormatting>
  <conditionalFormatting sqref="V18">
    <cfRule type="cellIs" dxfId="120" priority="232" operator="equal">
      <formula>0</formula>
    </cfRule>
  </conditionalFormatting>
  <conditionalFormatting sqref="V16">
    <cfRule type="cellIs" dxfId="119" priority="14" operator="equal">
      <formula>0</formula>
    </cfRule>
  </conditionalFormatting>
  <conditionalFormatting sqref="I4:I20">
    <cfRule type="cellIs" dxfId="118" priority="67" operator="equal">
      <formula>0</formula>
    </cfRule>
  </conditionalFormatting>
  <conditionalFormatting sqref="I4:I20">
    <cfRule type="cellIs" dxfId="117" priority="66" operator="equal">
      <formula>0</formula>
    </cfRule>
  </conditionalFormatting>
  <conditionalFormatting sqref="H4">
    <cfRule type="cellIs" dxfId="116" priority="64" operator="equal">
      <formula>0</formula>
    </cfRule>
  </conditionalFormatting>
  <conditionalFormatting sqref="H4">
    <cfRule type="cellIs" dxfId="115" priority="63" operator="equal">
      <formula>0</formula>
    </cfRule>
  </conditionalFormatting>
  <conditionalFormatting sqref="H5">
    <cfRule type="cellIs" dxfId="114" priority="62" operator="equal">
      <formula>0</formula>
    </cfRule>
  </conditionalFormatting>
  <conditionalFormatting sqref="H5">
    <cfRule type="cellIs" dxfId="113" priority="61" operator="equal">
      <formula>0</formula>
    </cfRule>
  </conditionalFormatting>
  <conditionalFormatting sqref="H6">
    <cfRule type="cellIs" dxfId="112" priority="60" operator="equal">
      <formula>0</formula>
    </cfRule>
  </conditionalFormatting>
  <conditionalFormatting sqref="H6">
    <cfRule type="cellIs" dxfId="111" priority="59" operator="equal">
      <formula>0</formula>
    </cfRule>
  </conditionalFormatting>
  <conditionalFormatting sqref="H7">
    <cfRule type="cellIs" dxfId="110" priority="58" operator="equal">
      <formula>0</formula>
    </cfRule>
  </conditionalFormatting>
  <conditionalFormatting sqref="H7">
    <cfRule type="cellIs" dxfId="109" priority="57" operator="equal">
      <formula>0</formula>
    </cfRule>
  </conditionalFormatting>
  <conditionalFormatting sqref="H8">
    <cfRule type="cellIs" dxfId="108" priority="56" operator="equal">
      <formula>0</formula>
    </cfRule>
  </conditionalFormatting>
  <conditionalFormatting sqref="H8">
    <cfRule type="cellIs" dxfId="107" priority="55" operator="equal">
      <formula>0</formula>
    </cfRule>
  </conditionalFormatting>
  <conditionalFormatting sqref="H9">
    <cfRule type="cellIs" dxfId="106" priority="54" operator="equal">
      <formula>0</formula>
    </cfRule>
  </conditionalFormatting>
  <conditionalFormatting sqref="H9">
    <cfRule type="cellIs" dxfId="105" priority="53" operator="equal">
      <formula>0</formula>
    </cfRule>
  </conditionalFormatting>
  <conditionalFormatting sqref="H10">
    <cfRule type="cellIs" dxfId="104" priority="52" operator="equal">
      <formula>0</formula>
    </cfRule>
  </conditionalFormatting>
  <conditionalFormatting sqref="H10">
    <cfRule type="cellIs" dxfId="103" priority="51" operator="equal">
      <formula>0</formula>
    </cfRule>
  </conditionalFormatting>
  <conditionalFormatting sqref="H11">
    <cfRule type="cellIs" dxfId="102" priority="50" operator="equal">
      <formula>0</formula>
    </cfRule>
  </conditionalFormatting>
  <conditionalFormatting sqref="H11">
    <cfRule type="cellIs" dxfId="101" priority="49" operator="equal">
      <formula>0</formula>
    </cfRule>
  </conditionalFormatting>
  <conditionalFormatting sqref="H12">
    <cfRule type="cellIs" dxfId="100" priority="48" operator="equal">
      <formula>0</formula>
    </cfRule>
  </conditionalFormatting>
  <conditionalFormatting sqref="H12">
    <cfRule type="cellIs" dxfId="99" priority="47" operator="equal">
      <formula>0</formula>
    </cfRule>
  </conditionalFormatting>
  <conditionalFormatting sqref="H13">
    <cfRule type="cellIs" dxfId="98" priority="46" operator="equal">
      <formula>0</formula>
    </cfRule>
  </conditionalFormatting>
  <conditionalFormatting sqref="H13">
    <cfRule type="cellIs" dxfId="97" priority="45" operator="equal">
      <formula>0</formula>
    </cfRule>
  </conditionalFormatting>
  <conditionalFormatting sqref="H14">
    <cfRule type="cellIs" dxfId="96" priority="44" operator="equal">
      <formula>0</formula>
    </cfRule>
  </conditionalFormatting>
  <conditionalFormatting sqref="H14">
    <cfRule type="cellIs" dxfId="95" priority="43" operator="equal">
      <formula>0</formula>
    </cfRule>
  </conditionalFormatting>
  <conditionalFormatting sqref="H15">
    <cfRule type="cellIs" dxfId="94" priority="42" operator="equal">
      <formula>0</formula>
    </cfRule>
  </conditionalFormatting>
  <conditionalFormatting sqref="H15">
    <cfRule type="cellIs" dxfId="93" priority="41" operator="equal">
      <formula>0</formula>
    </cfRule>
  </conditionalFormatting>
  <conditionalFormatting sqref="H16">
    <cfRule type="cellIs" dxfId="92" priority="40" operator="equal">
      <formula>0</formula>
    </cfRule>
  </conditionalFormatting>
  <conditionalFormatting sqref="H16">
    <cfRule type="cellIs" dxfId="91" priority="39" operator="equal">
      <formula>0</formula>
    </cfRule>
  </conditionalFormatting>
  <conditionalFormatting sqref="H17">
    <cfRule type="cellIs" dxfId="90" priority="38" operator="equal">
      <formula>0</formula>
    </cfRule>
  </conditionalFormatting>
  <conditionalFormatting sqref="H17">
    <cfRule type="cellIs" dxfId="89" priority="37" operator="equal">
      <formula>0</formula>
    </cfRule>
  </conditionalFormatting>
  <conditionalFormatting sqref="H18">
    <cfRule type="cellIs" dxfId="88" priority="36" operator="equal">
      <formula>0</formula>
    </cfRule>
  </conditionalFormatting>
  <conditionalFormatting sqref="H18">
    <cfRule type="cellIs" dxfId="87" priority="35" operator="equal">
      <formula>0</formula>
    </cfRule>
  </conditionalFormatting>
  <conditionalFormatting sqref="H19">
    <cfRule type="cellIs" dxfId="86" priority="34" operator="equal">
      <formula>0</formula>
    </cfRule>
  </conditionalFormatting>
  <conditionalFormatting sqref="H19">
    <cfRule type="cellIs" dxfId="85" priority="33" operator="equal">
      <formula>0</formula>
    </cfRule>
  </conditionalFormatting>
  <conditionalFormatting sqref="H20">
    <cfRule type="cellIs" dxfId="84" priority="32" operator="equal">
      <formula>0</formula>
    </cfRule>
  </conditionalFormatting>
  <conditionalFormatting sqref="H20">
    <cfRule type="cellIs" dxfId="83" priority="31" operator="equal">
      <formula>0</formula>
    </cfRule>
  </conditionalFormatting>
  <conditionalFormatting sqref="AK4:AK20">
    <cfRule type="cellIs" dxfId="82" priority="28" operator="equal">
      <formula>0</formula>
    </cfRule>
  </conditionalFormatting>
  <conditionalFormatting sqref="AK4:AK20">
    <cfRule type="cellIs" dxfId="81" priority="27" operator="equal">
      <formula>0</formula>
    </cfRule>
  </conditionalFormatting>
  <conditionalFormatting sqref="AK4:AK20">
    <cfRule type="cellIs" dxfId="80" priority="26" operator="equal">
      <formula>0</formula>
    </cfRule>
  </conditionalFormatting>
  <conditionalFormatting sqref="AK4:AK20">
    <cfRule type="cellIs" dxfId="79" priority="25" operator="equal">
      <formula>0</formula>
    </cfRule>
  </conditionalFormatting>
  <conditionalFormatting sqref="AK4:AK20">
    <cfRule type="cellIs" dxfId="78" priority="24" operator="equal">
      <formula>0</formula>
    </cfRule>
  </conditionalFormatting>
  <conditionalFormatting sqref="AK4:AK20">
    <cfRule type="cellIs" dxfId="77" priority="23" operator="equal">
      <formula>0</formula>
    </cfRule>
  </conditionalFormatting>
  <conditionalFormatting sqref="AK4:AK20">
    <cfRule type="cellIs" dxfId="76" priority="22" operator="equal">
      <formula>0</formula>
    </cfRule>
  </conditionalFormatting>
  <conditionalFormatting sqref="AK4:AK20">
    <cfRule type="cellIs" dxfId="75" priority="21" operator="equal">
      <formula>0</formula>
    </cfRule>
  </conditionalFormatting>
  <conditionalFormatting sqref="AK4:AK20">
    <cfRule type="cellIs" dxfId="74" priority="20" operator="equal">
      <formula>0</formula>
    </cfRule>
  </conditionalFormatting>
  <conditionalFormatting sqref="AK4:AK20">
    <cfRule type="cellIs" dxfId="73" priority="19" operator="equal">
      <formula>0</formula>
    </cfRule>
  </conditionalFormatting>
  <conditionalFormatting sqref="AK4:AK20">
    <cfRule type="cellIs" dxfId="72" priority="18" operator="equal">
      <formula>0</formula>
    </cfRule>
  </conditionalFormatting>
  <conditionalFormatting sqref="T16:V16">
    <cfRule type="cellIs" dxfId="71" priority="17" operator="equal">
      <formula>0</formula>
    </cfRule>
  </conditionalFormatting>
  <conditionalFormatting sqref="U16">
    <cfRule type="cellIs" dxfId="70" priority="16" operator="equal">
      <formula>0</formula>
    </cfRule>
  </conditionalFormatting>
  <conditionalFormatting sqref="U16">
    <cfRule type="cellIs" dxfId="69" priority="15" operator="equal">
      <formula>0</formula>
    </cfRule>
  </conditionalFormatting>
  <conditionalFormatting sqref="AP6">
    <cfRule type="cellIs" dxfId="68" priority="1" operator="equal">
      <formula>0</formula>
    </cfRule>
  </conditionalFormatting>
  <conditionalFormatting sqref="AP7">
    <cfRule type="cellIs" dxfId="67" priority="13" operator="equal">
      <formula>0</formula>
    </cfRule>
  </conditionalFormatting>
  <conditionalFormatting sqref="AP4 AP6:AP19">
    <cfRule type="cellIs" dxfId="66" priority="12" operator="equal">
      <formula>0</formula>
    </cfRule>
  </conditionalFormatting>
  <conditionalFormatting sqref="AP4 AP6:AP19">
    <cfRule type="cellIs" dxfId="65" priority="11" operator="equal">
      <formula>0</formula>
    </cfRule>
  </conditionalFormatting>
  <conditionalFormatting sqref="AP4 AP6:AP19">
    <cfRule type="cellIs" dxfId="64" priority="10" operator="equal">
      <formula>0</formula>
    </cfRule>
  </conditionalFormatting>
  <conditionalFormatting sqref="AP4">
    <cfRule type="cellIs" dxfId="63" priority="9" operator="equal">
      <formula>0</formula>
    </cfRule>
  </conditionalFormatting>
  <conditionalFormatting sqref="AP4">
    <cfRule type="cellIs" dxfId="62" priority="8" operator="equal">
      <formula>0</formula>
    </cfRule>
  </conditionalFormatting>
  <conditionalFormatting sqref="AP4">
    <cfRule type="cellIs" dxfId="61" priority="7" operator="equal">
      <formula>0</formula>
    </cfRule>
  </conditionalFormatting>
  <conditionalFormatting sqref="AP6">
    <cfRule type="cellIs" dxfId="60" priority="6" operator="equal">
      <formula>0</formula>
    </cfRule>
  </conditionalFormatting>
  <conditionalFormatting sqref="AP6">
    <cfRule type="cellIs" dxfId="59" priority="5" operator="equal">
      <formula>0</formula>
    </cfRule>
  </conditionalFormatting>
  <conditionalFormatting sqref="AP6">
    <cfRule type="cellIs" dxfId="58" priority="4" operator="equal">
      <formula>0</formula>
    </cfRule>
  </conditionalFormatting>
  <conditionalFormatting sqref="AP6">
    <cfRule type="cellIs" dxfId="57" priority="3" operator="equal">
      <formula>0</formula>
    </cfRule>
  </conditionalFormatting>
  <conditionalFormatting sqref="AP6">
    <cfRule type="cellIs" dxfId="56" priority="2" operator="equal">
      <formula>0</formula>
    </cfRule>
  </conditionalFormatting>
  <dataValidations count="1">
    <dataValidation type="list" allowBlank="1" showInputMessage="1" showErrorMessage="1" sqref="AL3:AL20 G4:AK20 E3:F20" xr:uid="{00000000-0002-0000-0000-000000000000}">
      <formula1>$AP$3:$AP$18</formula1>
    </dataValidation>
  </dataValidations>
  <pageMargins left="0.2" right="0" top="0.75" bottom="0.25" header="0.3" footer="0.3"/>
  <pageSetup scale="7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unScheduler">
                <anchor moveWithCells="1" sizeWithCells="1">
                  <from>
                    <xdr:col>0</xdr:col>
                    <xdr:colOff>50800</xdr:colOff>
                    <xdr:row>0</xdr:row>
                    <xdr:rowOff>88900</xdr:rowOff>
                  </from>
                  <to>
                    <xdr:col>1</xdr:col>
                    <xdr:colOff>609600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SelectVolunteerSchedule">
                <anchor moveWithCells="1" sizeWithCells="1">
                  <from>
                    <xdr:col>0</xdr:col>
                    <xdr:colOff>76200</xdr:colOff>
                    <xdr:row>9</xdr:row>
                    <xdr:rowOff>101600</xdr:rowOff>
                  </from>
                  <to>
                    <xdr:col>1</xdr:col>
                    <xdr:colOff>622300</xdr:colOff>
                    <xdr:row>12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/>
  <dimension ref="A1:AK425"/>
  <sheetViews>
    <sheetView zoomScale="90" zoomScaleNormal="90" workbookViewId="0">
      <pane ySplit="2" topLeftCell="A3" activePane="bottomLeft" state="frozen"/>
      <selection activeCell="E18" sqref="E18"/>
      <selection pane="bottomLeft" activeCell="N8" sqref="N8"/>
    </sheetView>
  </sheetViews>
  <sheetFormatPr baseColWidth="10" defaultColWidth="8.83203125" defaultRowHeight="15" x14ac:dyDescent="0.2"/>
  <cols>
    <col min="1" max="1" width="14.83203125" style="83" customWidth="1"/>
    <col min="2" max="2" width="15.5" style="14" customWidth="1"/>
    <col min="3" max="4" width="4.6640625" style="78" customWidth="1"/>
    <col min="5" max="5" width="4.6640625" style="81" customWidth="1"/>
    <col min="6" max="10" width="4.6640625" style="78" customWidth="1"/>
    <col min="11" max="12" width="4.6640625" style="81" customWidth="1"/>
    <col min="13" max="13" width="4.6640625" style="78" customWidth="1"/>
    <col min="14" max="14" width="4.1640625" style="78" customWidth="1"/>
    <col min="15" max="15" width="5.5" style="78" customWidth="1"/>
    <col min="16" max="18" width="4.6640625" style="78" customWidth="1"/>
    <col min="19" max="19" width="8.83203125" style="14"/>
  </cols>
  <sheetData>
    <row r="1" spans="1:37" ht="100" customHeight="1" x14ac:dyDescent="0.2">
      <c r="B1" s="55"/>
      <c r="C1" s="90" t="str">
        <f>Schedule!$AQ3</f>
        <v>OFF</v>
      </c>
      <c r="D1" s="90" t="str">
        <f>Schedule!$AQ4</f>
        <v>Art(1)/ Stop 7</v>
      </c>
      <c r="E1" s="90" t="str">
        <f>Schedule!$AQ5</f>
        <v xml:space="preserve">Booth(1)/ VC </v>
      </c>
      <c r="F1" s="90" t="str">
        <f>Schedule!$AQ6</f>
        <v xml:space="preserve">Booth(2)/ VC </v>
      </c>
      <c r="G1" s="90" t="str">
        <f>Schedule!$AQ7</f>
        <v xml:space="preserve">VC(1)/ Booth </v>
      </c>
      <c r="H1" s="90" t="str">
        <f>Schedule!$AQ8</f>
        <v xml:space="preserve">VC(2)/ Booth  </v>
      </c>
      <c r="I1" s="90" t="str">
        <f>Schedule!$AQ9</f>
        <v>Stop 7(2)</v>
      </c>
      <c r="J1" s="90" t="str">
        <f>Schedule!$AQ10</f>
        <v>Stop 7(2)/ 5&amp;9</v>
      </c>
      <c r="K1" s="90" t="str">
        <f>Schedule!$AQ11</f>
        <v>5&amp;9(1)/ Stop 7</v>
      </c>
      <c r="L1" s="90" t="str">
        <f>Schedule!$AQ12</f>
        <v>Stop 14(2)</v>
      </c>
      <c r="M1" s="90" t="str">
        <f>Schedule!$AQ13</f>
        <v>Stop 14(2)</v>
      </c>
      <c r="N1" s="90" t="str">
        <f>Schedule!$AQ14</f>
        <v>HINC</v>
      </c>
      <c r="O1" s="90" t="str">
        <f>Schedule!$AQ15</f>
        <v>ORIENTATION</v>
      </c>
      <c r="P1" s="90" t="str">
        <f>Schedule!$AQ16</f>
        <v>Office Support</v>
      </c>
      <c r="Q1" s="90" t="str">
        <f>Schedule!$AQ17</f>
        <v>Training</v>
      </c>
      <c r="R1" s="90" t="str">
        <f>Schedule!$AQ19</f>
        <v>Transition</v>
      </c>
    </row>
    <row r="2" spans="1:37" ht="24" customHeight="1" x14ac:dyDescent="0.2">
      <c r="B2" s="56"/>
      <c r="C2" s="88">
        <v>0</v>
      </c>
      <c r="D2" s="89">
        <v>1</v>
      </c>
      <c r="E2" s="88">
        <v>2</v>
      </c>
      <c r="F2" s="89">
        <v>3</v>
      </c>
      <c r="G2" s="89">
        <v>4</v>
      </c>
      <c r="H2" s="89">
        <v>5</v>
      </c>
      <c r="I2" s="89">
        <v>6</v>
      </c>
      <c r="J2" s="89">
        <v>7</v>
      </c>
      <c r="K2" s="89">
        <v>8</v>
      </c>
      <c r="L2" s="89">
        <v>9</v>
      </c>
      <c r="M2" s="89">
        <v>10</v>
      </c>
      <c r="N2" s="89">
        <v>11</v>
      </c>
      <c r="O2" s="89">
        <v>12</v>
      </c>
      <c r="P2" s="89">
        <v>13</v>
      </c>
      <c r="Q2" s="89">
        <v>14</v>
      </c>
      <c r="R2" s="89">
        <v>15</v>
      </c>
    </row>
    <row r="3" spans="1:37" ht="20" customHeight="1" x14ac:dyDescent="0.2">
      <c r="A3" s="84" t="s">
        <v>61</v>
      </c>
      <c r="B3" s="85" t="s">
        <v>60</v>
      </c>
      <c r="C3" s="87">
        <f>COUNTIF(Schedule!$E3:$AL3,"=0")</f>
        <v>16</v>
      </c>
      <c r="D3" s="87">
        <f>COUNTIF(Schedule!$E3:$AL3,"=1")</f>
        <v>2</v>
      </c>
      <c r="E3" s="87">
        <f>COUNTIF(Schedule!$E3:$AL3,"=2")</f>
        <v>2</v>
      </c>
      <c r="F3" s="87">
        <f>COUNTIF(Schedule!$E3:$AL3,"=3")</f>
        <v>2</v>
      </c>
      <c r="G3" s="87">
        <f>COUNTIF(Schedule!$E3:$AL3,"=4")</f>
        <v>2</v>
      </c>
      <c r="H3" s="87">
        <f>COUNTIF(Schedule!$E3:$AL3,"=5")</f>
        <v>1</v>
      </c>
      <c r="I3" s="87">
        <f>COUNTIF(Schedule!$E3:$AL3,"=6")</f>
        <v>3</v>
      </c>
      <c r="J3" s="87">
        <f>COUNTIF(Schedule!$E3:$AL3,"=7")</f>
        <v>2</v>
      </c>
      <c r="K3" s="87">
        <f>COUNTIF(Schedule!$E3:$AL3,"=8")</f>
        <v>1</v>
      </c>
      <c r="L3" s="87">
        <f>COUNTIF(Schedule!$E3:$AL3,"=9")</f>
        <v>2</v>
      </c>
      <c r="M3" s="87">
        <f>COUNTIF(Schedule!$E3:$AL3,"=10")</f>
        <v>1</v>
      </c>
      <c r="N3" s="87">
        <f>COUNTIF(Schedule!$E3:$AL3,"=11")</f>
        <v>0</v>
      </c>
      <c r="O3" s="87">
        <f>COUNTIF(Schedule!$E3:$AL3,"=12")</f>
        <v>0</v>
      </c>
      <c r="P3" s="87">
        <f>COUNTIF(Schedule!$E3:$AL3,"=13")</f>
        <v>0</v>
      </c>
      <c r="Q3" s="87">
        <f>COUNTIF(Schedule!$E3:$AL3,"=14")</f>
        <v>0</v>
      </c>
      <c r="R3" s="87">
        <f>COUNTIF(Schedule!$E3:$AL3,"=16")</f>
        <v>0</v>
      </c>
    </row>
    <row r="4" spans="1:37" ht="20" customHeight="1" x14ac:dyDescent="0.2">
      <c r="A4" s="86" t="str">
        <f>Schedule!C4</f>
        <v>Jane</v>
      </c>
      <c r="B4" s="86" t="str">
        <f>Schedule!D4</f>
        <v>Doe</v>
      </c>
      <c r="C4" s="87">
        <f>COUNTIF(Schedule!$E4:$AL4,"=0")</f>
        <v>15</v>
      </c>
      <c r="D4" s="87">
        <f>COUNTIF(Schedule!$E4:$AL4,"=1")</f>
        <v>2</v>
      </c>
      <c r="E4" s="87">
        <f>COUNTIF(Schedule!$E4:$AL4,"=2")</f>
        <v>2</v>
      </c>
      <c r="F4" s="87">
        <f>COUNTIF(Schedule!$E4:$AL4,"=3")</f>
        <v>2</v>
      </c>
      <c r="G4" s="87">
        <f>COUNTIF(Schedule!$E4:$AL4,"=4")</f>
        <v>2</v>
      </c>
      <c r="H4" s="87">
        <f>COUNTIF(Schedule!$E4:$AL4,"=5")</f>
        <v>2</v>
      </c>
      <c r="I4" s="87">
        <f>COUNTIF(Schedule!$E4:$AL4,"=6")</f>
        <v>2</v>
      </c>
      <c r="J4" s="87">
        <f>COUNTIF(Schedule!$E4:$AL4,"=7")</f>
        <v>2</v>
      </c>
      <c r="K4" s="87">
        <f>COUNTIF(Schedule!$E4:$AL4,"=8")</f>
        <v>2</v>
      </c>
      <c r="L4" s="87">
        <f>COUNTIF(Schedule!$E4:$AL4,"=9")</f>
        <v>2</v>
      </c>
      <c r="M4" s="87">
        <f>COUNTIF(Schedule!$E4:$AL4,"=10")</f>
        <v>1</v>
      </c>
      <c r="N4" s="87">
        <f>COUNTIF(Schedule!$E4:$AL4,"=11")</f>
        <v>0</v>
      </c>
      <c r="O4" s="87">
        <f>COUNTIF(Schedule!$E4:$AL4,"=12")</f>
        <v>0</v>
      </c>
      <c r="P4" s="87">
        <f>COUNTIF(Schedule!$E4:$AL4,"=13")</f>
        <v>0</v>
      </c>
      <c r="Q4" s="87">
        <f>COUNTIF(Schedule!$E4:$AL4,"=14")</f>
        <v>0</v>
      </c>
      <c r="R4" s="87">
        <f>COUNTIF(Schedule!$E4:$AL4,"=16")</f>
        <v>0</v>
      </c>
    </row>
    <row r="5" spans="1:37" ht="20" customHeight="1" x14ac:dyDescent="0.2">
      <c r="A5" s="86" t="str">
        <f>Schedule!C5</f>
        <v>Jane</v>
      </c>
      <c r="B5" s="86" t="str">
        <f>Schedule!D5</f>
        <v>Doe</v>
      </c>
      <c r="C5" s="87">
        <f>COUNTIF(Schedule!$E5:$AL5,"=0")</f>
        <v>16</v>
      </c>
      <c r="D5" s="87">
        <f>COUNTIF(Schedule!$E5:$AL5,"=1")</f>
        <v>1</v>
      </c>
      <c r="E5" s="87">
        <f>COUNTIF(Schedule!$E5:$AL5,"=2")</f>
        <v>2</v>
      </c>
      <c r="F5" s="87">
        <f>COUNTIF(Schedule!$E5:$AL5,"=3")</f>
        <v>2</v>
      </c>
      <c r="G5" s="87">
        <f>COUNTIF(Schedule!$E5:$AL5,"=4")</f>
        <v>2</v>
      </c>
      <c r="H5" s="87">
        <f>COUNTIF(Schedule!$E5:$AL5,"=5")</f>
        <v>1</v>
      </c>
      <c r="I5" s="87">
        <f>COUNTIF(Schedule!$E5:$AL5,"=6")</f>
        <v>2</v>
      </c>
      <c r="J5" s="87">
        <f>COUNTIF(Schedule!$E5:$AL5,"=7")</f>
        <v>2</v>
      </c>
      <c r="K5" s="87">
        <f>COUNTIF(Schedule!$E5:$AL5,"=8")</f>
        <v>2</v>
      </c>
      <c r="L5" s="87">
        <f>COUNTIF(Schedule!$E5:$AL5,"=9")</f>
        <v>3</v>
      </c>
      <c r="M5" s="87">
        <f>COUNTIF(Schedule!$E5:$AL5,"=10")</f>
        <v>1</v>
      </c>
      <c r="N5" s="87">
        <f>COUNTIF(Schedule!$E5:$AL5,"=11")</f>
        <v>0</v>
      </c>
      <c r="O5" s="87">
        <f>COUNTIF(Schedule!$E5:$AL5,"=12")</f>
        <v>0</v>
      </c>
      <c r="P5" s="87">
        <f>COUNTIF(Schedule!$E5:$AL5,"=13")</f>
        <v>0</v>
      </c>
      <c r="Q5" s="87">
        <f>COUNTIF(Schedule!$E5:$AL5,"=14")</f>
        <v>0</v>
      </c>
      <c r="R5" s="87">
        <f>COUNTIF(Schedule!$E5:$AL5,"=16")</f>
        <v>0</v>
      </c>
    </row>
    <row r="6" spans="1:37" ht="20" customHeight="1" x14ac:dyDescent="0.2">
      <c r="A6" s="86" t="str">
        <f>Schedule!C6</f>
        <v>Jane</v>
      </c>
      <c r="B6" s="86" t="str">
        <f>Schedule!D6</f>
        <v>Doe</v>
      </c>
      <c r="C6" s="87">
        <f>COUNTIF(Schedule!$E6:$AL6,"=0")</f>
        <v>14</v>
      </c>
      <c r="D6" s="87">
        <f>COUNTIF(Schedule!$E6:$AL6,"=1")</f>
        <v>2</v>
      </c>
      <c r="E6" s="87">
        <f>COUNTIF(Schedule!$E6:$AL6,"=2")</f>
        <v>2</v>
      </c>
      <c r="F6" s="87">
        <f>COUNTIF(Schedule!$E6:$AL6,"=3")</f>
        <v>2</v>
      </c>
      <c r="G6" s="87">
        <f>COUNTIF(Schedule!$E6:$AL6,"=4")</f>
        <v>2</v>
      </c>
      <c r="H6" s="87">
        <f>COUNTIF(Schedule!$E6:$AL6,"=5")</f>
        <v>2</v>
      </c>
      <c r="I6" s="87">
        <f>COUNTIF(Schedule!$E6:$AL6,"=6")</f>
        <v>2</v>
      </c>
      <c r="J6" s="87">
        <f>COUNTIF(Schedule!$E6:$AL6,"=7")</f>
        <v>2</v>
      </c>
      <c r="K6" s="87">
        <f>COUNTIF(Schedule!$E6:$AL6,"=8")</f>
        <v>2</v>
      </c>
      <c r="L6" s="87">
        <f>COUNTIF(Schedule!$E6:$AL6,"=9")</f>
        <v>2</v>
      </c>
      <c r="M6" s="87">
        <f>COUNTIF(Schedule!$E6:$AL6,"=10")</f>
        <v>2</v>
      </c>
      <c r="N6" s="87">
        <f>COUNTIF(Schedule!$E6:$AL6,"=11")</f>
        <v>0</v>
      </c>
      <c r="O6" s="87">
        <f>COUNTIF(Schedule!$E6:$AL6,"=12")</f>
        <v>0</v>
      </c>
      <c r="P6" s="87">
        <f>COUNTIF(Schedule!$E6:$AL6,"=13")</f>
        <v>0</v>
      </c>
      <c r="Q6" s="87">
        <f>COUNTIF(Schedule!$E6:$AL6,"=14")</f>
        <v>0</v>
      </c>
      <c r="R6" s="87">
        <f>COUNTIF(Schedule!$E6:$AL6,"=16")</f>
        <v>0</v>
      </c>
    </row>
    <row r="7" spans="1:37" ht="20" customHeight="1" x14ac:dyDescent="0.2">
      <c r="A7" s="86" t="str">
        <f>Schedule!C7</f>
        <v>Jane</v>
      </c>
      <c r="B7" s="86" t="str">
        <f>Schedule!D7</f>
        <v>Doe</v>
      </c>
      <c r="C7" s="87">
        <f>COUNTIF(Schedule!$E7:$AL7,"=0")</f>
        <v>16</v>
      </c>
      <c r="D7" s="87">
        <f>COUNTIF(Schedule!$E7:$AL7,"=1")</f>
        <v>2</v>
      </c>
      <c r="E7" s="87">
        <f>COUNTIF(Schedule!$E7:$AL7,"=2")</f>
        <v>2</v>
      </c>
      <c r="F7" s="87">
        <f>COUNTIF(Schedule!$E7:$AL7,"=3")</f>
        <v>2</v>
      </c>
      <c r="G7" s="87">
        <f>COUNTIF(Schedule!$E7:$AL7,"=4")</f>
        <v>2</v>
      </c>
      <c r="H7" s="87">
        <f>COUNTIF(Schedule!$E7:$AL7,"=5")</f>
        <v>2</v>
      </c>
      <c r="I7" s="87">
        <f>COUNTIF(Schedule!$E7:$AL7,"=6")</f>
        <v>2</v>
      </c>
      <c r="J7" s="87">
        <f>COUNTIF(Schedule!$E7:$AL7,"=7")</f>
        <v>1</v>
      </c>
      <c r="K7" s="87">
        <f>COUNTIF(Schedule!$E7:$AL7,"=8")</f>
        <v>2</v>
      </c>
      <c r="L7" s="87">
        <f>COUNTIF(Schedule!$E7:$AL7,"=9")</f>
        <v>1</v>
      </c>
      <c r="M7" s="87">
        <f>COUNTIF(Schedule!$E7:$AL7,"=10")</f>
        <v>2</v>
      </c>
      <c r="N7" s="87">
        <f>COUNTIF(Schedule!$E7:$AL7,"=11")</f>
        <v>0</v>
      </c>
      <c r="O7" s="87">
        <f>COUNTIF(Schedule!$E7:$AL7,"=12")</f>
        <v>0</v>
      </c>
      <c r="P7" s="87">
        <f>COUNTIF(Schedule!$E7:$AL7,"=13")</f>
        <v>0</v>
      </c>
      <c r="Q7" s="87">
        <f>COUNTIF(Schedule!$E7:$AL7,"=14")</f>
        <v>0</v>
      </c>
      <c r="R7" s="87">
        <f>COUNTIF(Schedule!$E7:$AL7,"=16")</f>
        <v>0</v>
      </c>
    </row>
    <row r="8" spans="1:37" s="14" customFormat="1" ht="20" customHeight="1" x14ac:dyDescent="0.2">
      <c r="A8" s="86" t="str">
        <f>Schedule!C8</f>
        <v>Jane</v>
      </c>
      <c r="B8" s="86" t="str">
        <f>Schedule!D8</f>
        <v>Doe</v>
      </c>
      <c r="C8" s="134">
        <f>COUNTIF(Schedule!$E8:$AL8,"=0")</f>
        <v>16</v>
      </c>
      <c r="D8" s="134">
        <f>COUNTIF(Schedule!$E8:$AL8,"=1")</f>
        <v>2</v>
      </c>
      <c r="E8" s="134">
        <f>COUNTIF(Schedule!$E8:$AL8,"=2")</f>
        <v>2</v>
      </c>
      <c r="F8" s="134">
        <f>COUNTIF(Schedule!$E8:$AL8,"=3")</f>
        <v>2</v>
      </c>
      <c r="G8" s="134">
        <f>COUNTIF(Schedule!$E8:$AL8,"=4")</f>
        <v>1</v>
      </c>
      <c r="H8" s="134">
        <f>COUNTIF(Schedule!$E8:$AL8,"=5")</f>
        <v>2</v>
      </c>
      <c r="I8" s="134">
        <f>COUNTIF(Schedule!$E8:$AL8,"=6")</f>
        <v>2</v>
      </c>
      <c r="J8" s="134">
        <f>COUNTIF(Schedule!$E8:$AL8,"=7")</f>
        <v>2</v>
      </c>
      <c r="K8" s="134">
        <f>COUNTIF(Schedule!$E8:$AL8,"=8")</f>
        <v>2</v>
      </c>
      <c r="L8" s="134">
        <f>COUNTIF(Schedule!$E8:$AL8,"=9")</f>
        <v>2</v>
      </c>
      <c r="M8" s="134">
        <f>COUNTIF(Schedule!$E8:$AL8,"=10")</f>
        <v>1</v>
      </c>
      <c r="N8" s="134">
        <f>COUNTIF(Schedule!$E8:$AL8,"=11")</f>
        <v>0</v>
      </c>
      <c r="O8" s="134">
        <f>COUNTIF(Schedule!$E8:$AL8,"=12")</f>
        <v>0</v>
      </c>
      <c r="P8" s="134">
        <f>COUNTIF(Schedule!$E8:$AL8,"=13")</f>
        <v>0</v>
      </c>
      <c r="Q8" s="134">
        <f>COUNTIF(Schedule!$E8:$AL8,"=14")</f>
        <v>0</v>
      </c>
      <c r="R8" s="87">
        <f>COUNTIF(Schedule!$E8:$AL8,"=16")</f>
        <v>0</v>
      </c>
    </row>
    <row r="9" spans="1:37" s="14" customFormat="1" ht="20" customHeight="1" x14ac:dyDescent="0.2">
      <c r="A9" s="86" t="str">
        <f>Schedule!C9</f>
        <v>Jane</v>
      </c>
      <c r="B9" s="86" t="str">
        <f>Schedule!D9</f>
        <v>Doe</v>
      </c>
      <c r="C9" s="134">
        <f>COUNTIF(Schedule!$E9:$AL9,"=0")</f>
        <v>14</v>
      </c>
      <c r="D9" s="134">
        <f>COUNTIF(Schedule!$E9:$AL9,"=1")</f>
        <v>2</v>
      </c>
      <c r="E9" s="134">
        <f>COUNTIF(Schedule!$E9:$AL9,"=2")</f>
        <v>2</v>
      </c>
      <c r="F9" s="134">
        <f>COUNTIF(Schedule!$E9:$AL9,"=3")</f>
        <v>2</v>
      </c>
      <c r="G9" s="134">
        <f>COUNTIF(Schedule!$E9:$AL9,"=4")</f>
        <v>1</v>
      </c>
      <c r="H9" s="134">
        <f>COUNTIF(Schedule!$E9:$AL9,"=5")</f>
        <v>2</v>
      </c>
      <c r="I9" s="134">
        <f>COUNTIF(Schedule!$E9:$AL9,"=6")</f>
        <v>2</v>
      </c>
      <c r="J9" s="134">
        <f>COUNTIF(Schedule!$E9:$AL9,"=7")</f>
        <v>2</v>
      </c>
      <c r="K9" s="134">
        <f>COUNTIF(Schedule!$E9:$AL9,"=8")</f>
        <v>2</v>
      </c>
      <c r="L9" s="134">
        <f>COUNTIF(Schedule!$E9:$AL9,"=9")</f>
        <v>2</v>
      </c>
      <c r="M9" s="134">
        <f>COUNTIF(Schedule!$E9:$AL9,"=10")</f>
        <v>3</v>
      </c>
      <c r="N9" s="134">
        <f>COUNTIF(Schedule!$E9:$AL9,"=11")</f>
        <v>0</v>
      </c>
      <c r="O9" s="134">
        <f>COUNTIF(Schedule!$E9:$AL9,"=12")</f>
        <v>0</v>
      </c>
      <c r="P9" s="134">
        <f>COUNTIF(Schedule!$E9:$AL9,"=13")</f>
        <v>0</v>
      </c>
      <c r="Q9" s="134">
        <f>COUNTIF(Schedule!$E9:$AL9,"=14")</f>
        <v>0</v>
      </c>
      <c r="R9" s="87">
        <f>COUNTIF(Schedule!$E9:$AL9,"=16")</f>
        <v>0</v>
      </c>
    </row>
    <row r="10" spans="1:37" s="14" customFormat="1" ht="20" customHeight="1" x14ac:dyDescent="0.2">
      <c r="A10" s="86" t="str">
        <f>Schedule!C10</f>
        <v>Jane</v>
      </c>
      <c r="B10" s="86" t="str">
        <f>Schedule!D10</f>
        <v>Doe</v>
      </c>
      <c r="C10" s="134">
        <f>COUNTIF(Schedule!$E10:$AL10,"=0")</f>
        <v>14</v>
      </c>
      <c r="D10" s="134">
        <f>COUNTIF(Schedule!$E10:$AL10,"=1")</f>
        <v>2</v>
      </c>
      <c r="E10" s="134">
        <f>COUNTIF(Schedule!$E10:$AL10,"=2")</f>
        <v>1</v>
      </c>
      <c r="F10" s="134">
        <f>COUNTIF(Schedule!$E10:$AL10,"=3")</f>
        <v>2</v>
      </c>
      <c r="G10" s="134">
        <f>COUNTIF(Schedule!$E10:$AL10,"=4")</f>
        <v>2</v>
      </c>
      <c r="H10" s="134">
        <f>COUNTIF(Schedule!$E10:$AL10,"=5")</f>
        <v>2</v>
      </c>
      <c r="I10" s="134">
        <f>COUNTIF(Schedule!$E10:$AL10,"=6")</f>
        <v>2</v>
      </c>
      <c r="J10" s="134">
        <f>COUNTIF(Schedule!$E10:$AL10,"=7")</f>
        <v>2</v>
      </c>
      <c r="K10" s="134">
        <f>COUNTIF(Schedule!$E10:$AL10,"=8")</f>
        <v>2</v>
      </c>
      <c r="L10" s="134">
        <f>COUNTIF(Schedule!$E10:$AL10,"=9")</f>
        <v>3</v>
      </c>
      <c r="M10" s="134">
        <f>COUNTIF(Schedule!$E10:$AL10,"=10")</f>
        <v>2</v>
      </c>
      <c r="N10" s="134">
        <f>COUNTIF(Schedule!$E10:$AL10,"=11")</f>
        <v>0</v>
      </c>
      <c r="O10" s="134">
        <f>COUNTIF(Schedule!$E10:$AL10,"=12")</f>
        <v>0</v>
      </c>
      <c r="P10" s="134">
        <f>COUNTIF(Schedule!$E10:$AL10,"=13")</f>
        <v>0</v>
      </c>
      <c r="Q10" s="134">
        <f>COUNTIF(Schedule!$E10:$AL10,"=14")</f>
        <v>0</v>
      </c>
      <c r="R10" s="87">
        <f>COUNTIF(Schedule!$E10:$AL10,"=16")</f>
        <v>0</v>
      </c>
    </row>
    <row r="11" spans="1:37" s="14" customFormat="1" ht="20" customHeight="1" x14ac:dyDescent="0.2">
      <c r="A11" s="86" t="str">
        <f>Schedule!C11</f>
        <v>Jane</v>
      </c>
      <c r="B11" s="86" t="str">
        <f>Schedule!D11</f>
        <v>Doe</v>
      </c>
      <c r="C11" s="134">
        <f>COUNTIF(Schedule!$E11:$AL11,"=0")</f>
        <v>17</v>
      </c>
      <c r="D11" s="134">
        <f>COUNTIF(Schedule!$E11:$AL11,"=1")</f>
        <v>1</v>
      </c>
      <c r="E11" s="134">
        <f>COUNTIF(Schedule!$E11:$AL11,"=2")</f>
        <v>2</v>
      </c>
      <c r="F11" s="134">
        <f>COUNTIF(Schedule!$E11:$AL11,"=3")</f>
        <v>2</v>
      </c>
      <c r="G11" s="134">
        <f>COUNTIF(Schedule!$E11:$AL11,"=4")</f>
        <v>2</v>
      </c>
      <c r="H11" s="134">
        <f>COUNTIF(Schedule!$E11:$AL11,"=5")</f>
        <v>2</v>
      </c>
      <c r="I11" s="134">
        <f>COUNTIF(Schedule!$E11:$AL11,"=6")</f>
        <v>1</v>
      </c>
      <c r="J11" s="134">
        <f>COUNTIF(Schedule!$E11:$AL11,"=7")</f>
        <v>3</v>
      </c>
      <c r="K11" s="134">
        <f>COUNTIF(Schedule!$E11:$AL11,"=8")</f>
        <v>1</v>
      </c>
      <c r="L11" s="134">
        <f>COUNTIF(Schedule!$E11:$AL11,"=9")</f>
        <v>1</v>
      </c>
      <c r="M11" s="134">
        <f>COUNTIF(Schedule!$E11:$AL11,"=10")</f>
        <v>2</v>
      </c>
      <c r="N11" s="134">
        <f>COUNTIF(Schedule!$E11:$AL11,"=11")</f>
        <v>0</v>
      </c>
      <c r="O11" s="134">
        <f>COUNTIF(Schedule!$E11:$AL11,"=12")</f>
        <v>0</v>
      </c>
      <c r="P11" s="134">
        <f>COUNTIF(Schedule!$E11:$AL11,"=13")</f>
        <v>0</v>
      </c>
      <c r="Q11" s="134">
        <f>COUNTIF(Schedule!$E11:$AL11,"=14")</f>
        <v>0</v>
      </c>
      <c r="R11" s="87">
        <f>COUNTIF(Schedule!$E11:$AL11,"=16")</f>
        <v>0</v>
      </c>
    </row>
    <row r="12" spans="1:37" s="14" customFormat="1" ht="20" customHeight="1" x14ac:dyDescent="0.2">
      <c r="A12" s="86" t="str">
        <f>Schedule!C12</f>
        <v>Jane</v>
      </c>
      <c r="B12" s="86" t="str">
        <f>Schedule!D12</f>
        <v>Doe</v>
      </c>
      <c r="C12" s="134">
        <f>COUNTIF(Schedule!$E12:$AL12,"=0")</f>
        <v>14</v>
      </c>
      <c r="D12" s="134">
        <f>COUNTIF(Schedule!$E12:$AL12,"=1")</f>
        <v>2</v>
      </c>
      <c r="E12" s="134">
        <f>COUNTIF(Schedule!$E12:$AL12,"=2")</f>
        <v>2</v>
      </c>
      <c r="F12" s="134">
        <f>COUNTIF(Schedule!$E12:$AL12,"=3")</f>
        <v>2</v>
      </c>
      <c r="G12" s="134">
        <f>COUNTIF(Schedule!$E12:$AL12,"=4")</f>
        <v>2</v>
      </c>
      <c r="H12" s="134">
        <f>COUNTIF(Schedule!$E12:$AL12,"=5")</f>
        <v>2</v>
      </c>
      <c r="I12" s="134">
        <f>COUNTIF(Schedule!$E12:$AL12,"=6")</f>
        <v>2</v>
      </c>
      <c r="J12" s="134">
        <f>COUNTIF(Schedule!$E12:$AL12,"=7")</f>
        <v>2</v>
      </c>
      <c r="K12" s="134">
        <f>COUNTIF(Schedule!$E12:$AL12,"=8")</f>
        <v>2</v>
      </c>
      <c r="L12" s="134">
        <f>COUNTIF(Schedule!$E12:$AL12,"=9")</f>
        <v>2</v>
      </c>
      <c r="M12" s="134">
        <f>COUNTIF(Schedule!$E12:$AL12,"=10")</f>
        <v>2</v>
      </c>
      <c r="N12" s="134">
        <f>COUNTIF(Schedule!$E12:$AL12,"=11")</f>
        <v>0</v>
      </c>
      <c r="O12" s="134">
        <f>COUNTIF(Schedule!$E12:$AL12,"=12")</f>
        <v>0</v>
      </c>
      <c r="P12" s="134">
        <f>COUNTIF(Schedule!$E12:$AL12,"=13")</f>
        <v>0</v>
      </c>
      <c r="Q12" s="134">
        <f>COUNTIF(Schedule!$E12:$AL12,"=14")</f>
        <v>0</v>
      </c>
      <c r="R12" s="87">
        <f>COUNTIF(Schedule!$E12:$AL12,"=16")</f>
        <v>0</v>
      </c>
      <c r="AK12" s="14" t="s">
        <v>84</v>
      </c>
    </row>
    <row r="13" spans="1:37" s="14" customFormat="1" ht="20" customHeight="1" x14ac:dyDescent="0.2">
      <c r="A13" s="86" t="str">
        <f>Schedule!C13</f>
        <v>Jane</v>
      </c>
      <c r="B13" s="86" t="str">
        <f>Schedule!D13</f>
        <v>Doe</v>
      </c>
      <c r="C13" s="134">
        <f>COUNTIF(Schedule!$E13:$AL13,"=0")</f>
        <v>16</v>
      </c>
      <c r="D13" s="134">
        <f>COUNTIF(Schedule!$E13:$AL13,"=1")</f>
        <v>2</v>
      </c>
      <c r="E13" s="134">
        <f>COUNTIF(Schedule!$E13:$AL13,"=2")</f>
        <v>2</v>
      </c>
      <c r="F13" s="134">
        <f>COUNTIF(Schedule!$E13:$AL13,"=3")</f>
        <v>2</v>
      </c>
      <c r="G13" s="134">
        <f>COUNTIF(Schedule!$E13:$AL13,"=4")</f>
        <v>2</v>
      </c>
      <c r="H13" s="134">
        <f>COUNTIF(Schedule!$E13:$AL13,"=5")</f>
        <v>2</v>
      </c>
      <c r="I13" s="134">
        <f>COUNTIF(Schedule!$E13:$AL13,"=6")</f>
        <v>2</v>
      </c>
      <c r="J13" s="134">
        <f>COUNTIF(Schedule!$E13:$AL13,"=7")</f>
        <v>1</v>
      </c>
      <c r="K13" s="134">
        <f>COUNTIF(Schedule!$E13:$AL13,"=8")</f>
        <v>2</v>
      </c>
      <c r="L13" s="134">
        <f>COUNTIF(Schedule!$E13:$AL13,"=9")</f>
        <v>1</v>
      </c>
      <c r="M13" s="134">
        <f>COUNTIF(Schedule!$E13:$AL13,"=10")</f>
        <v>2</v>
      </c>
      <c r="N13" s="134">
        <f>COUNTIF(Schedule!$E13:$AL13,"=11")</f>
        <v>0</v>
      </c>
      <c r="O13" s="134">
        <f>COUNTIF(Schedule!$E13:$AL13,"=12")</f>
        <v>0</v>
      </c>
      <c r="P13" s="134">
        <f>COUNTIF(Schedule!$E13:$AL13,"=13")</f>
        <v>0</v>
      </c>
      <c r="Q13" s="134">
        <f>COUNTIF(Schedule!$E13:$AL13,"=14")</f>
        <v>0</v>
      </c>
      <c r="R13" s="87">
        <f>COUNTIF(Schedule!$E13:$AL13,"=16")</f>
        <v>0</v>
      </c>
    </row>
    <row r="14" spans="1:37" s="14" customFormat="1" ht="20" customHeight="1" x14ac:dyDescent="0.2">
      <c r="A14" s="86" t="str">
        <f>Schedule!C14</f>
        <v>Jane</v>
      </c>
      <c r="B14" s="86" t="str">
        <f>Schedule!D14</f>
        <v>Doe</v>
      </c>
      <c r="C14" s="134">
        <f>COUNTIF(Schedule!$E14:$AL14,"=0")</f>
        <v>16</v>
      </c>
      <c r="D14" s="134">
        <f>COUNTIF(Schedule!$E14:$AL14,"=1")</f>
        <v>2</v>
      </c>
      <c r="E14" s="134">
        <f>COUNTIF(Schedule!$E14:$AL14,"=2")</f>
        <v>2</v>
      </c>
      <c r="F14" s="134">
        <f>COUNTIF(Schedule!$E14:$AL14,"=3")</f>
        <v>1</v>
      </c>
      <c r="G14" s="134">
        <f>COUNTIF(Schedule!$E14:$AL14,"=4")</f>
        <v>2</v>
      </c>
      <c r="H14" s="134">
        <f>COUNTIF(Schedule!$E14:$AL14,"=5")</f>
        <v>2</v>
      </c>
      <c r="I14" s="134">
        <f>COUNTIF(Schedule!$E14:$AL14,"=6")</f>
        <v>1</v>
      </c>
      <c r="J14" s="134">
        <f>COUNTIF(Schedule!$E14:$AL14,"=7")</f>
        <v>2</v>
      </c>
      <c r="K14" s="134">
        <f>COUNTIF(Schedule!$E14:$AL14,"=8")</f>
        <v>2</v>
      </c>
      <c r="L14" s="134">
        <f>COUNTIF(Schedule!$E14:$AL14,"=9")</f>
        <v>2</v>
      </c>
      <c r="M14" s="134">
        <f>COUNTIF(Schedule!$E14:$AL14,"=10")</f>
        <v>2</v>
      </c>
      <c r="N14" s="134">
        <f>COUNTIF(Schedule!$E14:$AL14,"=11")</f>
        <v>0</v>
      </c>
      <c r="O14" s="134">
        <f>COUNTIF(Schedule!$E14:$AL14,"=12")</f>
        <v>0</v>
      </c>
      <c r="P14" s="134">
        <f>COUNTIF(Schedule!$E14:$AL14,"=13")</f>
        <v>0</v>
      </c>
      <c r="Q14" s="134">
        <f>COUNTIF(Schedule!$E14:$AL14,"=14")</f>
        <v>0</v>
      </c>
      <c r="R14" s="87">
        <f>COUNTIF(Schedule!$E14:$AL14,"=16")</f>
        <v>0</v>
      </c>
    </row>
    <row r="15" spans="1:37" s="14" customFormat="1" ht="20" customHeight="1" x14ac:dyDescent="0.2">
      <c r="A15" s="86" t="str">
        <f>Schedule!C15</f>
        <v>Jane</v>
      </c>
      <c r="B15" s="86" t="str">
        <f>Schedule!D15</f>
        <v>Doe</v>
      </c>
      <c r="C15" s="134">
        <f>COUNTIF(Schedule!$E15:$AL15,"=0")</f>
        <v>15</v>
      </c>
      <c r="D15" s="134">
        <f>COUNTIF(Schedule!$E15:$AL15,"=1")</f>
        <v>2</v>
      </c>
      <c r="E15" s="134">
        <f>COUNTIF(Schedule!$E15:$AL15,"=2")</f>
        <v>2</v>
      </c>
      <c r="F15" s="134">
        <f>COUNTIF(Schedule!$E15:$AL15,"=3")</f>
        <v>2</v>
      </c>
      <c r="G15" s="134">
        <f>COUNTIF(Schedule!$E15:$AL15,"=4")</f>
        <v>2</v>
      </c>
      <c r="H15" s="134">
        <f>COUNTIF(Schedule!$E15:$AL15,"=5")</f>
        <v>2</v>
      </c>
      <c r="I15" s="134">
        <f>COUNTIF(Schedule!$E15:$AL15,"=6")</f>
        <v>2</v>
      </c>
      <c r="J15" s="134">
        <f>COUNTIF(Schedule!$E15:$AL15,"=7")</f>
        <v>2</v>
      </c>
      <c r="K15" s="134">
        <f>COUNTIF(Schedule!$E15:$AL15,"=8")</f>
        <v>2</v>
      </c>
      <c r="L15" s="134">
        <f>COUNTIF(Schedule!$E15:$AL15,"=9")</f>
        <v>2</v>
      </c>
      <c r="M15" s="134">
        <f>COUNTIF(Schedule!$E15:$AL15,"=10")</f>
        <v>1</v>
      </c>
      <c r="N15" s="134">
        <f>COUNTIF(Schedule!$E15:$AL15,"=11")</f>
        <v>0</v>
      </c>
      <c r="O15" s="134">
        <f>COUNTIF(Schedule!$E15:$AL15,"=12")</f>
        <v>0</v>
      </c>
      <c r="P15" s="134">
        <f>COUNTIF(Schedule!$E15:$AL15,"=13")</f>
        <v>0</v>
      </c>
      <c r="Q15" s="134">
        <f>COUNTIF(Schedule!$E15:$AL15,"=14")</f>
        <v>0</v>
      </c>
      <c r="R15" s="87">
        <f>COUNTIF(Schedule!$E15:$AL15,"=16")</f>
        <v>0</v>
      </c>
    </row>
    <row r="16" spans="1:37" s="14" customFormat="1" ht="20" customHeight="1" x14ac:dyDescent="0.2">
      <c r="A16" s="86" t="str">
        <f>Schedule!C16</f>
        <v>Jane</v>
      </c>
      <c r="B16" s="86" t="str">
        <f>Schedule!D16</f>
        <v>Doe</v>
      </c>
      <c r="C16" s="134">
        <f>COUNTIF(Schedule!$E16:$AL16,"=0")</f>
        <v>15</v>
      </c>
      <c r="D16" s="134">
        <f>COUNTIF(Schedule!$E16:$AL16,"=1")</f>
        <v>2</v>
      </c>
      <c r="E16" s="134">
        <f>COUNTIF(Schedule!$E16:$AL16,"=2")</f>
        <v>1</v>
      </c>
      <c r="F16" s="134">
        <f>COUNTIF(Schedule!$E16:$AL16,"=3")</f>
        <v>2</v>
      </c>
      <c r="G16" s="134">
        <f>COUNTIF(Schedule!$E16:$AL16,"=4")</f>
        <v>2</v>
      </c>
      <c r="H16" s="134">
        <f>COUNTIF(Schedule!$E16:$AL16,"=5")</f>
        <v>2</v>
      </c>
      <c r="I16" s="134">
        <f>COUNTIF(Schedule!$E16:$AL16,"=6")</f>
        <v>2</v>
      </c>
      <c r="J16" s="134">
        <f>COUNTIF(Schedule!$E16:$AL16,"=7")</f>
        <v>2</v>
      </c>
      <c r="K16" s="134">
        <f>COUNTIF(Schedule!$E16:$AL16,"=8")</f>
        <v>2</v>
      </c>
      <c r="L16" s="134">
        <f>COUNTIF(Schedule!$E16:$AL16,"=9")</f>
        <v>1</v>
      </c>
      <c r="M16" s="134">
        <f>COUNTIF(Schedule!$E16:$AL16,"=10")</f>
        <v>3</v>
      </c>
      <c r="N16" s="134">
        <f>COUNTIF(Schedule!$E16:$AL16,"=11")</f>
        <v>0</v>
      </c>
      <c r="O16" s="134">
        <f>COUNTIF(Schedule!$E16:$AL16,"=12")</f>
        <v>0</v>
      </c>
      <c r="P16" s="134">
        <f>COUNTIF(Schedule!$E16:$AL16,"=13")</f>
        <v>0</v>
      </c>
      <c r="Q16" s="134">
        <f>COUNTIF(Schedule!$E16:$AL16,"=14")</f>
        <v>0</v>
      </c>
      <c r="R16" s="87">
        <f>COUNTIF(Schedule!$E16:$AL16,"=16")</f>
        <v>0</v>
      </c>
    </row>
    <row r="17" spans="1:19" s="14" customFormat="1" ht="20" customHeight="1" x14ac:dyDescent="0.2">
      <c r="A17" s="86" t="str">
        <f>Schedule!C17</f>
        <v>Jane</v>
      </c>
      <c r="B17" s="86" t="str">
        <f>Schedule!D17</f>
        <v>Doe</v>
      </c>
      <c r="C17" s="134">
        <f>COUNTIF(Schedule!$E17:$AL17,"=0")</f>
        <v>15</v>
      </c>
      <c r="D17" s="134">
        <f>COUNTIF(Schedule!$E17:$AL17,"=1")</f>
        <v>2</v>
      </c>
      <c r="E17" s="134">
        <f>COUNTIF(Schedule!$E17:$AL17,"=2")</f>
        <v>2</v>
      </c>
      <c r="F17" s="134">
        <f>COUNTIF(Schedule!$E17:$AL17,"=3")</f>
        <v>2</v>
      </c>
      <c r="G17" s="134">
        <f>COUNTIF(Schedule!$E17:$AL17,"=4")</f>
        <v>2</v>
      </c>
      <c r="H17" s="134">
        <f>COUNTIF(Schedule!$E17:$AL17,"=5")</f>
        <v>2</v>
      </c>
      <c r="I17" s="134">
        <f>COUNTIF(Schedule!$E17:$AL17,"=6")</f>
        <v>2</v>
      </c>
      <c r="J17" s="134">
        <f>COUNTIF(Schedule!$E17:$AL17,"=7")</f>
        <v>1</v>
      </c>
      <c r="K17" s="134">
        <f>COUNTIF(Schedule!$E17:$AL17,"=8")</f>
        <v>2</v>
      </c>
      <c r="L17" s="134">
        <f>COUNTIF(Schedule!$E17:$AL17,"=9")</f>
        <v>2</v>
      </c>
      <c r="M17" s="134">
        <f>COUNTIF(Schedule!$E17:$AL17,"=10")</f>
        <v>2</v>
      </c>
      <c r="N17" s="134">
        <f>COUNTIF(Schedule!$E17:$AL17,"=11")</f>
        <v>0</v>
      </c>
      <c r="O17" s="134">
        <f>COUNTIF(Schedule!$E17:$AL17,"=12")</f>
        <v>0</v>
      </c>
      <c r="P17" s="134">
        <f>COUNTIF(Schedule!$E17:$AL17,"=13")</f>
        <v>0</v>
      </c>
      <c r="Q17" s="134">
        <f>COUNTIF(Schedule!$E17:$AL17,"=14")</f>
        <v>0</v>
      </c>
      <c r="R17" s="87">
        <f>COUNTIF(Schedule!$E17:$AL17,"=16")</f>
        <v>0</v>
      </c>
    </row>
    <row r="18" spans="1:19" s="14" customFormat="1" ht="20" customHeight="1" x14ac:dyDescent="0.2">
      <c r="A18" s="86" t="str">
        <f>Schedule!C18</f>
        <v>Jane</v>
      </c>
      <c r="B18" s="86" t="str">
        <f>Schedule!D18</f>
        <v>Doe</v>
      </c>
      <c r="C18" s="134">
        <f>COUNTIF(Schedule!$E18:$AL18,"=0")</f>
        <v>14</v>
      </c>
      <c r="D18" s="134">
        <f>COUNTIF(Schedule!$E18:$AL18,"=1")</f>
        <v>2</v>
      </c>
      <c r="E18" s="134">
        <f>COUNTIF(Schedule!$E18:$AL18,"=2")</f>
        <v>2</v>
      </c>
      <c r="F18" s="134">
        <f>COUNTIF(Schedule!$E18:$AL18,"=3")</f>
        <v>1</v>
      </c>
      <c r="G18" s="134">
        <f>COUNTIF(Schedule!$E18:$AL18,"=4")</f>
        <v>2</v>
      </c>
      <c r="H18" s="134">
        <f>COUNTIF(Schedule!$E18:$AL18,"=5")</f>
        <v>2</v>
      </c>
      <c r="I18" s="134">
        <f>COUNTIF(Schedule!$E18:$AL18,"=6")</f>
        <v>2</v>
      </c>
      <c r="J18" s="134">
        <f>COUNTIF(Schedule!$E18:$AL18,"=7")</f>
        <v>2</v>
      </c>
      <c r="K18" s="134">
        <f>COUNTIF(Schedule!$E18:$AL18,"=8")</f>
        <v>2</v>
      </c>
      <c r="L18" s="134">
        <f>COUNTIF(Schedule!$E18:$AL18,"=9")</f>
        <v>3</v>
      </c>
      <c r="M18" s="134">
        <f>COUNTIF(Schedule!$E18:$AL18,"=10")</f>
        <v>2</v>
      </c>
      <c r="N18" s="134">
        <f>COUNTIF(Schedule!$E18:$AL18,"=11")</f>
        <v>0</v>
      </c>
      <c r="O18" s="134">
        <f>COUNTIF(Schedule!$E18:$AL18,"=12")</f>
        <v>0</v>
      </c>
      <c r="P18" s="134">
        <f>COUNTIF(Schedule!$E18:$AL18,"=13")</f>
        <v>0</v>
      </c>
      <c r="Q18" s="134">
        <f>COUNTIF(Schedule!$E18:$AL18,"=14")</f>
        <v>0</v>
      </c>
      <c r="R18" s="87">
        <f>COUNTIF(Schedule!$E18:$AL18,"=16")</f>
        <v>0</v>
      </c>
    </row>
    <row r="19" spans="1:19" s="14" customFormat="1" ht="20" customHeight="1" x14ac:dyDescent="0.2">
      <c r="A19" s="86" t="str">
        <f>Schedule!C19</f>
        <v>Jane</v>
      </c>
      <c r="B19" s="86" t="str">
        <f>Schedule!D19</f>
        <v>Doe</v>
      </c>
      <c r="C19" s="134">
        <f>COUNTIF(Schedule!$E19:$AL19,"=0")</f>
        <v>14</v>
      </c>
      <c r="D19" s="134">
        <f>COUNTIF(Schedule!$E19:$AL19,"=1")</f>
        <v>2</v>
      </c>
      <c r="E19" s="134">
        <f>COUNTIF(Schedule!$E19:$AL19,"=2")</f>
        <v>2</v>
      </c>
      <c r="F19" s="134">
        <f>COUNTIF(Schedule!$E19:$AL19,"=3")</f>
        <v>2</v>
      </c>
      <c r="G19" s="134">
        <f>COUNTIF(Schedule!$E19:$AL19,"=4")</f>
        <v>2</v>
      </c>
      <c r="H19" s="134">
        <f>COUNTIF(Schedule!$E19:$AL19,"=5")</f>
        <v>2</v>
      </c>
      <c r="I19" s="134">
        <f>COUNTIF(Schedule!$E19:$AL19,"=6")</f>
        <v>1</v>
      </c>
      <c r="J19" s="134">
        <f>COUNTIF(Schedule!$E19:$AL19,"=7")</f>
        <v>2</v>
      </c>
      <c r="K19" s="134">
        <f>COUNTIF(Schedule!$E19:$AL19,"=8")</f>
        <v>2</v>
      </c>
      <c r="L19" s="134">
        <f>COUNTIF(Schedule!$E19:$AL19,"=9")</f>
        <v>2</v>
      </c>
      <c r="M19" s="134">
        <f>COUNTIF(Schedule!$E19:$AL19,"=10")</f>
        <v>3</v>
      </c>
      <c r="N19" s="134">
        <f>COUNTIF(Schedule!$E19:$AL19,"=11")</f>
        <v>0</v>
      </c>
      <c r="O19" s="134">
        <f>COUNTIF(Schedule!$E19:$AL19,"=12")</f>
        <v>0</v>
      </c>
      <c r="P19" s="134">
        <f>COUNTIF(Schedule!$E19:$AL19,"=13")</f>
        <v>0</v>
      </c>
      <c r="Q19" s="134">
        <f>COUNTIF(Schedule!$E19:$AL19,"=14")</f>
        <v>0</v>
      </c>
      <c r="R19" s="87">
        <f>COUNTIF(Schedule!$E19:$AL19,"=16")</f>
        <v>0</v>
      </c>
    </row>
    <row r="20" spans="1:19" s="14" customFormat="1" ht="20" customHeight="1" x14ac:dyDescent="0.2">
      <c r="A20" s="86" t="str">
        <f>Schedule!C20</f>
        <v>Jane</v>
      </c>
      <c r="B20" s="86" t="str">
        <f>Schedule!D20</f>
        <v>Doe</v>
      </c>
      <c r="C20" s="134">
        <f>COUNTIF(Schedule!$E20:$AL20,"=0")</f>
        <v>15</v>
      </c>
      <c r="D20" s="134">
        <f>COUNTIF(Schedule!$E20:$AL20,"=1")</f>
        <v>2</v>
      </c>
      <c r="E20" s="134">
        <f>COUNTIF(Schedule!$E20:$AL20,"=2")</f>
        <v>2</v>
      </c>
      <c r="F20" s="134">
        <f>COUNTIF(Schedule!$E20:$AL20,"=3")</f>
        <v>2</v>
      </c>
      <c r="G20" s="134">
        <f>COUNTIF(Schedule!$E20:$AL20,"=4")</f>
        <v>2</v>
      </c>
      <c r="H20" s="134">
        <f>COUNTIF(Schedule!$E20:$AL20,"=5")</f>
        <v>2</v>
      </c>
      <c r="I20" s="134">
        <f>COUNTIF(Schedule!$E20:$AL20,"=6")</f>
        <v>2</v>
      </c>
      <c r="J20" s="134">
        <f>COUNTIF(Schedule!$E20:$AL20,"=7")</f>
        <v>2</v>
      </c>
      <c r="K20" s="134">
        <f>COUNTIF(Schedule!$E20:$AL20,"=8")</f>
        <v>2</v>
      </c>
      <c r="L20" s="134">
        <f>COUNTIF(Schedule!$E20:$AL20,"=9")</f>
        <v>1</v>
      </c>
      <c r="M20" s="134">
        <f>COUNTIF(Schedule!$E20:$AL20,"=10")</f>
        <v>2</v>
      </c>
      <c r="N20" s="134">
        <f>COUNTIF(Schedule!$E20:$AL20,"=11")</f>
        <v>0</v>
      </c>
      <c r="O20" s="134">
        <f>COUNTIF(Schedule!$E20:$AL20,"=12")</f>
        <v>0</v>
      </c>
      <c r="P20" s="134">
        <f>COUNTIF(Schedule!$E20:$AL20,"=13")</f>
        <v>0</v>
      </c>
      <c r="Q20" s="134">
        <f>COUNTIF(Schedule!$E20:$AL20,"=14")</f>
        <v>0</v>
      </c>
      <c r="R20" s="87">
        <f>COUNTIF(Schedule!$E20:$AL20,"=16")</f>
        <v>0</v>
      </c>
    </row>
    <row r="21" spans="1:19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</row>
    <row r="22" spans="1:19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</row>
    <row r="23" spans="1:19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</row>
    <row r="24" spans="1:19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</row>
    <row r="25" spans="1:19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</row>
    <row r="26" spans="1:19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</row>
    <row r="27" spans="1:19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</row>
    <row r="28" spans="1:19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</row>
    <row r="29" spans="1:19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</row>
    <row r="30" spans="1:19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19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</row>
    <row r="32" spans="1:19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</row>
    <row r="33" spans="1:19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</row>
    <row r="34" spans="1:19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</row>
    <row r="35" spans="1:19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</row>
    <row r="36" spans="1:19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</row>
    <row r="37" spans="1:19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</row>
    <row r="38" spans="1:19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</row>
    <row r="39" spans="1:19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</row>
    <row r="40" spans="1:19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</row>
    <row r="41" spans="1:19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</row>
    <row r="42" spans="1:19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</row>
    <row r="43" spans="1:19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</row>
    <row r="44" spans="1:19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</row>
    <row r="45" spans="1:19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</row>
    <row r="46" spans="1:19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1:19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1:19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1:19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1:19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1:19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1:19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1:19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1:19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</row>
    <row r="55" spans="1:19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1:19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1:19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1:19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</row>
    <row r="59" spans="1:19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1:19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</row>
    <row r="61" spans="1:19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</row>
    <row r="62" spans="1:19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</row>
    <row r="63" spans="1:19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</row>
    <row r="64" spans="1:19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</row>
    <row r="65" spans="1:19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</row>
    <row r="66" spans="1:19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</row>
    <row r="67" spans="1:19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</row>
    <row r="68" spans="1:19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</row>
    <row r="69" spans="1:19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</row>
    <row r="70" spans="1:19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</row>
    <row r="71" spans="1:19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</row>
    <row r="72" spans="1:19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</row>
    <row r="73" spans="1:19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</row>
    <row r="74" spans="1:19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</row>
    <row r="75" spans="1:19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</row>
    <row r="76" spans="1:19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</row>
    <row r="77" spans="1:19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</row>
    <row r="78" spans="1:19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</row>
    <row r="79" spans="1:19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</row>
    <row r="80" spans="1:19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</row>
    <row r="81" spans="1:19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</row>
    <row r="82" spans="1:19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</row>
    <row r="83" spans="1:19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</row>
    <row r="84" spans="1:19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</row>
    <row r="85" spans="1:19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</row>
    <row r="86" spans="1:19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</row>
    <row r="87" spans="1:19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</row>
    <row r="88" spans="1:19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</row>
    <row r="89" spans="1:19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</row>
    <row r="90" spans="1:19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</row>
    <row r="91" spans="1:19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</row>
    <row r="92" spans="1:19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</row>
    <row r="93" spans="1:19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</row>
    <row r="94" spans="1:19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</row>
    <row r="95" spans="1:19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</row>
    <row r="96" spans="1:19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</row>
    <row r="97" spans="1:19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</row>
    <row r="98" spans="1:19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</row>
    <row r="99" spans="1:19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</row>
    <row r="100" spans="1:19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</row>
    <row r="101" spans="1:19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</row>
    <row r="102" spans="1:19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</row>
    <row r="103" spans="1:19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</row>
    <row r="104" spans="1:19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</row>
    <row r="105" spans="1:19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</row>
    <row r="106" spans="1:19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</row>
    <row r="107" spans="1:19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</row>
    <row r="108" spans="1:19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</row>
    <row r="109" spans="1:19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</row>
    <row r="110" spans="1:19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</row>
    <row r="111" spans="1:19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</row>
    <row r="112" spans="1:19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</row>
    <row r="113" spans="1:19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</row>
    <row r="114" spans="1:19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</row>
    <row r="115" spans="1:19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</row>
    <row r="116" spans="1:19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</row>
    <row r="117" spans="1:19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</row>
    <row r="118" spans="1:19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</row>
    <row r="119" spans="1:19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</row>
    <row r="120" spans="1:19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</row>
    <row r="121" spans="1:19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</row>
    <row r="122" spans="1:19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</row>
    <row r="123" spans="1:19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</row>
    <row r="124" spans="1:19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</row>
    <row r="125" spans="1:19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</row>
    <row r="126" spans="1:19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</row>
    <row r="127" spans="1:19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</row>
    <row r="128" spans="1:19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</row>
    <row r="129" spans="1:19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</row>
    <row r="130" spans="1:19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</row>
    <row r="131" spans="1:19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</row>
    <row r="132" spans="1:19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</row>
    <row r="133" spans="1:19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</row>
    <row r="134" spans="1:19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</row>
    <row r="135" spans="1:19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</row>
    <row r="136" spans="1:19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</row>
    <row r="137" spans="1:19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</row>
    <row r="138" spans="1:19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</row>
    <row r="139" spans="1:19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</row>
    <row r="140" spans="1:19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</row>
    <row r="141" spans="1:19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</row>
    <row r="142" spans="1:19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</row>
    <row r="143" spans="1:19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</row>
    <row r="144" spans="1:19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</row>
    <row r="145" spans="1:19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</row>
    <row r="146" spans="1:19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</row>
    <row r="147" spans="1:19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</row>
    <row r="148" spans="1:19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</row>
    <row r="149" spans="1:19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</row>
    <row r="150" spans="1:19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</row>
    <row r="151" spans="1:19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</row>
    <row r="152" spans="1:19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</row>
    <row r="153" spans="1:19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</row>
    <row r="154" spans="1:19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</row>
    <row r="155" spans="1:19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</row>
    <row r="156" spans="1:19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</row>
    <row r="157" spans="1:19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</row>
    <row r="158" spans="1:19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</row>
    <row r="159" spans="1:19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</row>
    <row r="160" spans="1:19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</row>
    <row r="161" spans="1:19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</row>
    <row r="162" spans="1:19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</row>
    <row r="163" spans="1:19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</row>
    <row r="164" spans="1:19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</row>
    <row r="165" spans="1:19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</row>
    <row r="166" spans="1:19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</row>
    <row r="167" spans="1:19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</row>
    <row r="168" spans="1:19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</row>
    <row r="169" spans="1:19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</row>
    <row r="170" spans="1:19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</row>
    <row r="171" spans="1:19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</row>
    <row r="172" spans="1:19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</row>
    <row r="173" spans="1:19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</row>
    <row r="174" spans="1:19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</row>
    <row r="175" spans="1:19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</row>
    <row r="176" spans="1:19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</row>
    <row r="177" spans="1:19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</row>
    <row r="178" spans="1:19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</row>
    <row r="179" spans="1:19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</row>
    <row r="180" spans="1:19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</row>
    <row r="181" spans="1:19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</row>
    <row r="182" spans="1:19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</row>
    <row r="183" spans="1:19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</row>
    <row r="184" spans="1:19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</row>
    <row r="185" spans="1:19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</row>
    <row r="186" spans="1:19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</row>
    <row r="187" spans="1:19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</row>
    <row r="188" spans="1:19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</row>
    <row r="189" spans="1:19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</row>
    <row r="190" spans="1:19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</row>
    <row r="191" spans="1:19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</row>
    <row r="192" spans="1:19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</row>
    <row r="193" spans="1:19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</row>
    <row r="194" spans="1:19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</row>
    <row r="195" spans="1:19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</row>
    <row r="196" spans="1:19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</row>
    <row r="197" spans="1:19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</row>
    <row r="198" spans="1:19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</row>
    <row r="199" spans="1:19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</row>
    <row r="200" spans="1:19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</row>
    <row r="201" spans="1:19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</row>
    <row r="202" spans="1:19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</row>
    <row r="203" spans="1:19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</row>
    <row r="204" spans="1:19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</row>
    <row r="205" spans="1:19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</row>
    <row r="206" spans="1:19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</row>
    <row r="207" spans="1:19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</row>
    <row r="208" spans="1:19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</row>
    <row r="209" spans="1:19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</row>
    <row r="210" spans="1:19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</row>
    <row r="211" spans="1:19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</row>
    <row r="212" spans="1:19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</row>
    <row r="213" spans="1:19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</row>
    <row r="214" spans="1:19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</row>
    <row r="215" spans="1:19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</row>
    <row r="216" spans="1:19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</row>
    <row r="217" spans="1:19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</row>
    <row r="218" spans="1:19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</row>
    <row r="219" spans="1:19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</row>
    <row r="220" spans="1:19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</row>
    <row r="221" spans="1:19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</row>
    <row r="222" spans="1:19" x14ac:dyDescent="0.2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</row>
    <row r="223" spans="1:19" x14ac:dyDescent="0.2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</row>
    <row r="224" spans="1:19" x14ac:dyDescent="0.2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</row>
    <row r="225" spans="1:19" x14ac:dyDescent="0.2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</row>
    <row r="226" spans="1:19" x14ac:dyDescent="0.2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</row>
    <row r="227" spans="1:19" x14ac:dyDescent="0.2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</row>
    <row r="228" spans="1:19" x14ac:dyDescent="0.2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</row>
    <row r="229" spans="1:19" x14ac:dyDescent="0.2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</row>
    <row r="230" spans="1:19" x14ac:dyDescent="0.2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</row>
    <row r="231" spans="1:19" x14ac:dyDescent="0.2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</row>
    <row r="232" spans="1:19" x14ac:dyDescent="0.2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</row>
    <row r="233" spans="1:19" x14ac:dyDescent="0.2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</row>
    <row r="234" spans="1:19" x14ac:dyDescent="0.2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</row>
    <row r="235" spans="1:19" x14ac:dyDescent="0.2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</row>
    <row r="236" spans="1:19" x14ac:dyDescent="0.2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</row>
    <row r="237" spans="1:19" x14ac:dyDescent="0.2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</row>
    <row r="238" spans="1:19" x14ac:dyDescent="0.2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</row>
    <row r="239" spans="1:19" x14ac:dyDescent="0.2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</row>
    <row r="240" spans="1:19" x14ac:dyDescent="0.2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</row>
    <row r="241" spans="1:19" x14ac:dyDescent="0.2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</row>
    <row r="242" spans="1:19" x14ac:dyDescent="0.2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</row>
    <row r="243" spans="1:19" x14ac:dyDescent="0.2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</row>
    <row r="244" spans="1:19" x14ac:dyDescent="0.2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</row>
    <row r="245" spans="1:19" x14ac:dyDescent="0.2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</row>
    <row r="246" spans="1:19" x14ac:dyDescent="0.2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</row>
    <row r="247" spans="1:19" x14ac:dyDescent="0.2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</row>
    <row r="248" spans="1:19" x14ac:dyDescent="0.2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</row>
    <row r="249" spans="1:19" x14ac:dyDescent="0.2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</row>
    <row r="250" spans="1:19" x14ac:dyDescent="0.2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</row>
    <row r="251" spans="1:19" x14ac:dyDescent="0.2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</row>
    <row r="252" spans="1:19" x14ac:dyDescent="0.2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</row>
    <row r="253" spans="1:19" x14ac:dyDescent="0.2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</row>
    <row r="254" spans="1:19" x14ac:dyDescent="0.2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</row>
    <row r="255" spans="1:19" x14ac:dyDescent="0.2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</row>
    <row r="256" spans="1:19" x14ac:dyDescent="0.2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</row>
    <row r="257" spans="1:19" x14ac:dyDescent="0.2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</row>
    <row r="258" spans="1:19" x14ac:dyDescent="0.2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</row>
    <row r="259" spans="1:19" x14ac:dyDescent="0.2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</row>
    <row r="260" spans="1:19" x14ac:dyDescent="0.2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</row>
    <row r="261" spans="1:19" x14ac:dyDescent="0.2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</row>
    <row r="262" spans="1:19" x14ac:dyDescent="0.2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</row>
    <row r="263" spans="1:19" x14ac:dyDescent="0.2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</row>
    <row r="264" spans="1:19" x14ac:dyDescent="0.2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</row>
    <row r="265" spans="1:19" x14ac:dyDescent="0.2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</row>
    <row r="266" spans="1:19" x14ac:dyDescent="0.2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</row>
    <row r="267" spans="1:19" x14ac:dyDescent="0.2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</row>
    <row r="268" spans="1:19" x14ac:dyDescent="0.2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</row>
    <row r="269" spans="1:19" x14ac:dyDescent="0.2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</row>
    <row r="270" spans="1:19" x14ac:dyDescent="0.2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</row>
    <row r="271" spans="1:19" x14ac:dyDescent="0.2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</row>
    <row r="272" spans="1:19" x14ac:dyDescent="0.2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</row>
    <row r="273" spans="1:19" x14ac:dyDescent="0.2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</row>
    <row r="274" spans="1:19" x14ac:dyDescent="0.2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</row>
    <row r="275" spans="1:19" x14ac:dyDescent="0.2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</row>
    <row r="276" spans="1:19" x14ac:dyDescent="0.2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</row>
    <row r="277" spans="1:19" x14ac:dyDescent="0.2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</row>
    <row r="278" spans="1:19" x14ac:dyDescent="0.2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</row>
    <row r="279" spans="1:19" x14ac:dyDescent="0.2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</row>
    <row r="280" spans="1:19" x14ac:dyDescent="0.2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</row>
    <row r="281" spans="1:19" x14ac:dyDescent="0.2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</row>
    <row r="282" spans="1:19" x14ac:dyDescent="0.2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</row>
    <row r="283" spans="1:19" x14ac:dyDescent="0.2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</row>
    <row r="284" spans="1:19" x14ac:dyDescent="0.2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</row>
    <row r="285" spans="1:19" x14ac:dyDescent="0.2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</row>
    <row r="286" spans="1:19" x14ac:dyDescent="0.2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</row>
    <row r="287" spans="1:19" x14ac:dyDescent="0.2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</row>
    <row r="288" spans="1:19" x14ac:dyDescent="0.2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</row>
    <row r="289" spans="1:19" x14ac:dyDescent="0.2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</row>
    <row r="290" spans="1:19" x14ac:dyDescent="0.2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</row>
    <row r="291" spans="1:19" x14ac:dyDescent="0.2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</row>
    <row r="292" spans="1:19" x14ac:dyDescent="0.2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</row>
    <row r="293" spans="1:19" x14ac:dyDescent="0.2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</row>
    <row r="294" spans="1:19" x14ac:dyDescent="0.2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</row>
    <row r="295" spans="1:19" x14ac:dyDescent="0.2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</row>
    <row r="296" spans="1:19" x14ac:dyDescent="0.2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</row>
    <row r="297" spans="1:19" x14ac:dyDescent="0.2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</row>
    <row r="298" spans="1:19" x14ac:dyDescent="0.2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</row>
    <row r="299" spans="1:19" x14ac:dyDescent="0.2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</row>
    <row r="300" spans="1:19" x14ac:dyDescent="0.2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</row>
    <row r="301" spans="1:19" x14ac:dyDescent="0.2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</row>
    <row r="302" spans="1:19" x14ac:dyDescent="0.2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</row>
    <row r="303" spans="1:19" x14ac:dyDescent="0.2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</row>
    <row r="304" spans="1:19" x14ac:dyDescent="0.2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</row>
    <row r="305" spans="1:19" x14ac:dyDescent="0.2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</row>
    <row r="306" spans="1:19" x14ac:dyDescent="0.2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</row>
    <row r="307" spans="1:19" x14ac:dyDescent="0.2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</row>
    <row r="308" spans="1:19" x14ac:dyDescent="0.2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</row>
    <row r="309" spans="1:19" x14ac:dyDescent="0.2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</row>
    <row r="310" spans="1:19" x14ac:dyDescent="0.2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</row>
    <row r="311" spans="1:19" x14ac:dyDescent="0.2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</row>
    <row r="312" spans="1:19" x14ac:dyDescent="0.2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</row>
    <row r="313" spans="1:19" x14ac:dyDescent="0.2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</row>
    <row r="314" spans="1:19" x14ac:dyDescent="0.2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</row>
    <row r="315" spans="1:19" x14ac:dyDescent="0.2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</row>
    <row r="316" spans="1:19" x14ac:dyDescent="0.2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</row>
    <row r="317" spans="1:19" x14ac:dyDescent="0.2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</row>
    <row r="318" spans="1:19" x14ac:dyDescent="0.2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</row>
    <row r="319" spans="1:19" x14ac:dyDescent="0.2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</row>
    <row r="320" spans="1:19" x14ac:dyDescent="0.2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</row>
    <row r="321" spans="1:19" x14ac:dyDescent="0.2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</row>
    <row r="322" spans="1:19" x14ac:dyDescent="0.2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</row>
    <row r="323" spans="1:19" x14ac:dyDescent="0.2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</row>
    <row r="324" spans="1:19" x14ac:dyDescent="0.2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</row>
    <row r="325" spans="1:19" x14ac:dyDescent="0.2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</row>
    <row r="326" spans="1:19" x14ac:dyDescent="0.2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</row>
    <row r="327" spans="1:19" x14ac:dyDescent="0.2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</row>
    <row r="328" spans="1:19" x14ac:dyDescent="0.2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</row>
    <row r="329" spans="1:19" x14ac:dyDescent="0.2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</row>
    <row r="330" spans="1:19" x14ac:dyDescent="0.2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</row>
    <row r="331" spans="1:19" x14ac:dyDescent="0.2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</row>
    <row r="332" spans="1:19" x14ac:dyDescent="0.2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</row>
    <row r="333" spans="1:19" x14ac:dyDescent="0.2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</row>
    <row r="334" spans="1:19" x14ac:dyDescent="0.2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</row>
    <row r="335" spans="1:19" x14ac:dyDescent="0.2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</row>
    <row r="336" spans="1:19" x14ac:dyDescent="0.2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</row>
    <row r="337" spans="1:19" x14ac:dyDescent="0.2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</row>
    <row r="338" spans="1:19" x14ac:dyDescent="0.2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</row>
    <row r="339" spans="1:19" x14ac:dyDescent="0.2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</row>
    <row r="340" spans="1:19" x14ac:dyDescent="0.2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</row>
    <row r="341" spans="1:19" x14ac:dyDescent="0.2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</row>
    <row r="342" spans="1:19" x14ac:dyDescent="0.2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</row>
    <row r="343" spans="1:19" x14ac:dyDescent="0.2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</row>
    <row r="344" spans="1:19" x14ac:dyDescent="0.2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</row>
    <row r="345" spans="1:19" x14ac:dyDescent="0.2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</row>
    <row r="346" spans="1:19" x14ac:dyDescent="0.2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</row>
    <row r="347" spans="1:19" x14ac:dyDescent="0.2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</row>
    <row r="348" spans="1:19" x14ac:dyDescent="0.2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</row>
    <row r="349" spans="1:19" x14ac:dyDescent="0.2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</row>
    <row r="350" spans="1:19" x14ac:dyDescent="0.2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</row>
    <row r="351" spans="1:19" x14ac:dyDescent="0.2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</row>
    <row r="352" spans="1:19" x14ac:dyDescent="0.2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</row>
    <row r="353" spans="1:19" x14ac:dyDescent="0.2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</row>
    <row r="354" spans="1:19" x14ac:dyDescent="0.2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</row>
    <row r="355" spans="1:19" x14ac:dyDescent="0.2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</row>
    <row r="356" spans="1:19" x14ac:dyDescent="0.2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</row>
    <row r="357" spans="1:19" x14ac:dyDescent="0.2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</row>
    <row r="358" spans="1:19" x14ac:dyDescent="0.2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</row>
    <row r="359" spans="1:19" x14ac:dyDescent="0.2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</row>
    <row r="360" spans="1:19" x14ac:dyDescent="0.2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</row>
    <row r="361" spans="1:19" x14ac:dyDescent="0.2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</row>
    <row r="362" spans="1:19" x14ac:dyDescent="0.2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</row>
    <row r="363" spans="1:19" x14ac:dyDescent="0.2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</row>
    <row r="364" spans="1:19" x14ac:dyDescent="0.2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</row>
    <row r="365" spans="1:19" x14ac:dyDescent="0.2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</row>
    <row r="366" spans="1:19" x14ac:dyDescent="0.2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</row>
    <row r="367" spans="1:19" x14ac:dyDescent="0.2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</row>
    <row r="368" spans="1:19" x14ac:dyDescent="0.2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</row>
    <row r="369" spans="1:19" x14ac:dyDescent="0.2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</row>
    <row r="370" spans="1:19" x14ac:dyDescent="0.2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</row>
    <row r="371" spans="1:19" x14ac:dyDescent="0.2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</row>
    <row r="372" spans="1:19" x14ac:dyDescent="0.2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</row>
    <row r="373" spans="1:19" x14ac:dyDescent="0.2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</row>
    <row r="374" spans="1:19" x14ac:dyDescent="0.2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</row>
    <row r="375" spans="1:19" x14ac:dyDescent="0.2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</row>
    <row r="376" spans="1:19" x14ac:dyDescent="0.2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</row>
    <row r="377" spans="1:19" x14ac:dyDescent="0.2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</row>
    <row r="378" spans="1:19" x14ac:dyDescent="0.2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</row>
    <row r="379" spans="1:19" x14ac:dyDescent="0.2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</row>
    <row r="380" spans="1:19" x14ac:dyDescent="0.2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</row>
    <row r="381" spans="1:19" x14ac:dyDescent="0.2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</row>
    <row r="382" spans="1:19" x14ac:dyDescent="0.2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</row>
    <row r="383" spans="1:19" x14ac:dyDescent="0.2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</row>
    <row r="384" spans="1:19" x14ac:dyDescent="0.2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</row>
    <row r="385" spans="1:19" x14ac:dyDescent="0.2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</row>
    <row r="386" spans="1:19" x14ac:dyDescent="0.2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</row>
    <row r="387" spans="1:19" x14ac:dyDescent="0.2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</row>
    <row r="388" spans="1:19" x14ac:dyDescent="0.2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</row>
    <row r="389" spans="1:19" x14ac:dyDescent="0.2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</row>
    <row r="390" spans="1:19" x14ac:dyDescent="0.2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</row>
    <row r="391" spans="1:19" x14ac:dyDescent="0.2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</row>
    <row r="392" spans="1:19" x14ac:dyDescent="0.2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</row>
    <row r="393" spans="1:19" x14ac:dyDescent="0.2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</row>
    <row r="394" spans="1:19" x14ac:dyDescent="0.2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</row>
    <row r="395" spans="1:19" x14ac:dyDescent="0.2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</row>
    <row r="396" spans="1:19" x14ac:dyDescent="0.2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</row>
    <row r="397" spans="1:19" x14ac:dyDescent="0.2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</row>
    <row r="398" spans="1:19" x14ac:dyDescent="0.2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</row>
    <row r="399" spans="1:19" x14ac:dyDescent="0.2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</row>
    <row r="400" spans="1:19" x14ac:dyDescent="0.2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</row>
    <row r="401" spans="1:19" x14ac:dyDescent="0.2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</row>
    <row r="402" spans="1:19" x14ac:dyDescent="0.2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</row>
    <row r="403" spans="1:19" x14ac:dyDescent="0.2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</row>
    <row r="404" spans="1:19" x14ac:dyDescent="0.2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</row>
    <row r="405" spans="1:19" x14ac:dyDescent="0.2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</row>
    <row r="406" spans="1:19" x14ac:dyDescent="0.2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</row>
    <row r="407" spans="1:19" x14ac:dyDescent="0.2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</row>
    <row r="408" spans="1:19" x14ac:dyDescent="0.2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</row>
    <row r="409" spans="1:19" x14ac:dyDescent="0.2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</row>
    <row r="410" spans="1:19" x14ac:dyDescent="0.2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</row>
    <row r="411" spans="1:19" x14ac:dyDescent="0.2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</row>
    <row r="412" spans="1:19" x14ac:dyDescent="0.2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</row>
    <row r="413" spans="1:19" x14ac:dyDescent="0.2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</row>
    <row r="414" spans="1:19" x14ac:dyDescent="0.2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</row>
    <row r="415" spans="1:19" x14ac:dyDescent="0.2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</row>
    <row r="416" spans="1:19" x14ac:dyDescent="0.2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</row>
    <row r="417" spans="1:19" x14ac:dyDescent="0.2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</row>
    <row r="418" spans="1:19" x14ac:dyDescent="0.2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</row>
    <row r="419" spans="1:19" x14ac:dyDescent="0.2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</row>
    <row r="420" spans="1:19" x14ac:dyDescent="0.2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</row>
    <row r="421" spans="1:19" x14ac:dyDescent="0.2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</row>
    <row r="422" spans="1:19" x14ac:dyDescent="0.2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</row>
    <row r="423" spans="1:19" x14ac:dyDescent="0.2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</row>
    <row r="424" spans="1:19" x14ac:dyDescent="0.2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</row>
    <row r="425" spans="1:19" x14ac:dyDescent="0.2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</row>
  </sheetData>
  <conditionalFormatting sqref="G2">
    <cfRule type="cellIs" dxfId="55" priority="16" operator="equal">
      <formula>0</formula>
    </cfRule>
  </conditionalFormatting>
  <conditionalFormatting sqref="D2 F2:R2">
    <cfRule type="cellIs" dxfId="54" priority="15" operator="equal">
      <formula>0</formula>
    </cfRule>
  </conditionalFormatting>
  <conditionalFormatting sqref="D2 F2:R2">
    <cfRule type="cellIs" dxfId="53" priority="14" operator="equal">
      <formula>0</formula>
    </cfRule>
  </conditionalFormatting>
  <conditionalFormatting sqref="D2 F2:R2">
    <cfRule type="cellIs" dxfId="52" priority="13" operator="equal">
      <formula>0</formula>
    </cfRule>
  </conditionalFormatting>
  <conditionalFormatting sqref="D2">
    <cfRule type="cellIs" dxfId="51" priority="12" operator="equal">
      <formula>0</formula>
    </cfRule>
  </conditionalFormatting>
  <conditionalFormatting sqref="D2">
    <cfRule type="cellIs" dxfId="50" priority="11" operator="equal">
      <formula>0</formula>
    </cfRule>
  </conditionalFormatting>
  <conditionalFormatting sqref="D2">
    <cfRule type="cellIs" dxfId="49" priority="10" operator="equal">
      <formula>0</formula>
    </cfRule>
  </conditionalFormatting>
  <conditionalFormatting sqref="F2">
    <cfRule type="cellIs" dxfId="48" priority="9" operator="equal">
      <formula>0</formula>
    </cfRule>
  </conditionalFormatting>
  <conditionalFormatting sqref="F2">
    <cfRule type="cellIs" dxfId="47" priority="8" operator="equal">
      <formula>0</formula>
    </cfRule>
  </conditionalFormatting>
  <conditionalFormatting sqref="F2">
    <cfRule type="cellIs" dxfId="46" priority="7" operator="equal">
      <formula>0</formula>
    </cfRule>
  </conditionalFormatting>
  <conditionalFormatting sqref="F2">
    <cfRule type="cellIs" dxfId="45" priority="6" operator="equal">
      <formula>0</formula>
    </cfRule>
  </conditionalFormatting>
  <conditionalFormatting sqref="F2">
    <cfRule type="cellIs" dxfId="44" priority="5" operator="equal">
      <formula>0</formula>
    </cfRule>
  </conditionalFormatting>
  <conditionalFormatting sqref="F2">
    <cfRule type="cellIs" dxfId="43" priority="4" operator="equal">
      <formula>0</formula>
    </cfRule>
  </conditionalFormatting>
  <conditionalFormatting sqref="D4:Q20">
    <cfRule type="cellIs" dxfId="42" priority="1" operator="lessThan">
      <formula>1</formula>
    </cfRule>
    <cfRule type="cellIs" dxfId="41" priority="3" operator="greaterThan">
      <formula>2</formula>
    </cfRule>
  </conditionalFormatting>
  <pageMargins left="0.7" right="0.7" top="0.75" bottom="0.75" header="0.3" footer="0.3"/>
  <pageSetup orientation="landscape" horizontalDpi="300" verticalDpi="300"/>
  <headerFooter>
    <oddFooter>&amp;R&amp;D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9"/>
  <dimension ref="A1:AK18"/>
  <sheetViews>
    <sheetView zoomScale="90" zoomScaleNormal="90" zoomScalePageLayoutView="150" workbookViewId="0">
      <pane ySplit="2" topLeftCell="A3" activePane="bottomLeft" state="frozen"/>
      <selection activeCell="E18" sqref="E18"/>
      <selection pane="bottomLeft" activeCell="M3" sqref="M3"/>
    </sheetView>
  </sheetViews>
  <sheetFormatPr baseColWidth="10" defaultColWidth="8.83203125" defaultRowHeight="18" customHeight="1" x14ac:dyDescent="0.25"/>
  <cols>
    <col min="1" max="1" width="5" style="58" customWidth="1"/>
    <col min="2" max="2" width="19.1640625" customWidth="1"/>
    <col min="3" max="3" width="4.1640625" style="57" customWidth="1"/>
    <col min="4" max="4" width="4.33203125" customWidth="1"/>
    <col min="5" max="7" width="4.33203125" style="91" customWidth="1"/>
    <col min="8" max="20" width="3.5" customWidth="1"/>
    <col min="21" max="21" width="3.6640625" customWidth="1"/>
    <col min="22" max="36" width="3.5" customWidth="1"/>
    <col min="37" max="37" width="5.5" style="57" customWidth="1"/>
  </cols>
  <sheetData>
    <row r="1" spans="1:37" ht="18" customHeight="1" thickBot="1" x14ac:dyDescent="0.3">
      <c r="B1" s="65" t="s">
        <v>5</v>
      </c>
      <c r="C1" s="57" t="str">
        <f>Schedule!E1</f>
        <v>Th</v>
      </c>
      <c r="D1" s="57" t="str">
        <f>Schedule!F1</f>
        <v>F</v>
      </c>
      <c r="E1" s="57" t="str">
        <f>Schedule!G1</f>
        <v>S</v>
      </c>
      <c r="F1" s="57" t="str">
        <f>Schedule!H1</f>
        <v>S</v>
      </c>
      <c r="G1" s="57" t="str">
        <f>Schedule!I1</f>
        <v>M</v>
      </c>
      <c r="H1" s="57" t="str">
        <f>Schedule!J1</f>
        <v>T</v>
      </c>
      <c r="I1" s="57" t="str">
        <f>Schedule!K1</f>
        <v>W</v>
      </c>
      <c r="J1" s="57" t="str">
        <f>Schedule!L1</f>
        <v>Th</v>
      </c>
      <c r="K1" s="57" t="str">
        <f>Schedule!M1</f>
        <v>F</v>
      </c>
      <c r="L1" s="57" t="str">
        <f>Schedule!N1</f>
        <v>S</v>
      </c>
      <c r="M1" s="57" t="str">
        <f>Schedule!O1</f>
        <v>S</v>
      </c>
      <c r="N1" s="57" t="str">
        <f>Schedule!P1</f>
        <v>M</v>
      </c>
      <c r="O1" s="57" t="str">
        <f>Schedule!Q1</f>
        <v>T</v>
      </c>
      <c r="P1" s="57" t="str">
        <f>Schedule!R1</f>
        <v>W</v>
      </c>
      <c r="Q1" s="57" t="str">
        <f>Schedule!S1</f>
        <v>Th</v>
      </c>
      <c r="R1" s="57" t="str">
        <f>Schedule!T1</f>
        <v>F</v>
      </c>
      <c r="S1" s="57" t="str">
        <f>Schedule!U1</f>
        <v>S</v>
      </c>
      <c r="T1" s="57" t="str">
        <f>Schedule!V1</f>
        <v>S</v>
      </c>
      <c r="U1" s="57" t="str">
        <f>Schedule!W1</f>
        <v>M</v>
      </c>
      <c r="V1" s="57" t="str">
        <f>Schedule!X1</f>
        <v>T</v>
      </c>
      <c r="W1" s="57" t="str">
        <f>Schedule!Y1</f>
        <v>W</v>
      </c>
      <c r="X1" s="57" t="str">
        <f>Schedule!Z1</f>
        <v>Th</v>
      </c>
      <c r="Y1" s="57" t="str">
        <f>Schedule!AA1</f>
        <v>F</v>
      </c>
      <c r="Z1" s="57" t="str">
        <f>Schedule!AB1</f>
        <v>S</v>
      </c>
      <c r="AA1" s="57" t="str">
        <f>Schedule!AC1</f>
        <v>S</v>
      </c>
      <c r="AB1" s="57" t="str">
        <f>Schedule!AD1</f>
        <v>M</v>
      </c>
      <c r="AC1" s="57" t="str">
        <f>Schedule!AE1</f>
        <v>T</v>
      </c>
      <c r="AD1" s="57" t="str">
        <f>Schedule!AF1</f>
        <v>W</v>
      </c>
      <c r="AE1" s="57" t="str">
        <f>Schedule!AG1</f>
        <v>Th</v>
      </c>
      <c r="AF1" s="57" t="str">
        <f>Schedule!AH1</f>
        <v>F</v>
      </c>
      <c r="AG1" s="57" t="str">
        <f>Schedule!AI1</f>
        <v>S</v>
      </c>
      <c r="AH1" s="57" t="str">
        <f>Schedule!AJ1</f>
        <v>S</v>
      </c>
      <c r="AI1" s="57" t="str">
        <f>Schedule!AK1</f>
        <v>M</v>
      </c>
      <c r="AJ1" s="57" t="str">
        <f>Schedule!AL1</f>
        <v>T</v>
      </c>
    </row>
    <row r="2" spans="1:37" ht="18" customHeight="1" thickBot="1" x14ac:dyDescent="0.3">
      <c r="B2" s="62" t="s">
        <v>5</v>
      </c>
      <c r="C2" s="61">
        <f>Schedule!E2</f>
        <v>27</v>
      </c>
      <c r="D2" s="61">
        <f>Schedule!F2</f>
        <v>28</v>
      </c>
      <c r="E2" s="61">
        <f>Schedule!G2</f>
        <v>29</v>
      </c>
      <c r="F2" s="61">
        <f>Schedule!H2</f>
        <v>30</v>
      </c>
      <c r="G2" s="61">
        <f>Schedule!I2</f>
        <v>31</v>
      </c>
      <c r="H2" s="61">
        <f>Schedule!J2</f>
        <v>1</v>
      </c>
      <c r="I2" s="61">
        <f>Schedule!K2</f>
        <v>2</v>
      </c>
      <c r="J2" s="61">
        <f>Schedule!L2</f>
        <v>3</v>
      </c>
      <c r="K2" s="61">
        <f>Schedule!M2</f>
        <v>4</v>
      </c>
      <c r="L2" s="61">
        <f>Schedule!N2</f>
        <v>5</v>
      </c>
      <c r="M2" s="61">
        <f>Schedule!O2</f>
        <v>6</v>
      </c>
      <c r="N2" s="61">
        <f>Schedule!P2</f>
        <v>7</v>
      </c>
      <c r="O2" s="61">
        <f>Schedule!Q2</f>
        <v>8</v>
      </c>
      <c r="P2" s="61">
        <f>Schedule!R2</f>
        <v>9</v>
      </c>
      <c r="Q2" s="61">
        <f>Schedule!S2</f>
        <v>10</v>
      </c>
      <c r="R2" s="61">
        <f>Schedule!T2</f>
        <v>11</v>
      </c>
      <c r="S2" s="61">
        <f>Schedule!U2</f>
        <v>12</v>
      </c>
      <c r="T2" s="61">
        <f>Schedule!V2</f>
        <v>13</v>
      </c>
      <c r="U2" s="61">
        <f>Schedule!W2</f>
        <v>14</v>
      </c>
      <c r="V2" s="61">
        <f>Schedule!X2</f>
        <v>15</v>
      </c>
      <c r="W2" s="61">
        <f>Schedule!Y2</f>
        <v>16</v>
      </c>
      <c r="X2" s="61">
        <f>Schedule!Z2</f>
        <v>17</v>
      </c>
      <c r="Y2" s="61">
        <f>Schedule!AA2</f>
        <v>18</v>
      </c>
      <c r="Z2" s="61">
        <f>Schedule!AB2</f>
        <v>19</v>
      </c>
      <c r="AA2" s="61">
        <f>Schedule!AC2</f>
        <v>20</v>
      </c>
      <c r="AB2" s="61">
        <f>Schedule!AD2</f>
        <v>21</v>
      </c>
      <c r="AC2" s="61">
        <f>Schedule!AE2</f>
        <v>22</v>
      </c>
      <c r="AD2" s="61">
        <f>Schedule!AF2</f>
        <v>23</v>
      </c>
      <c r="AE2" s="61">
        <f>Schedule!AG2</f>
        <v>24</v>
      </c>
      <c r="AF2" s="61">
        <f>Schedule!AH2</f>
        <v>25</v>
      </c>
      <c r="AG2" s="61">
        <f>Schedule!AI2</f>
        <v>26</v>
      </c>
      <c r="AH2" s="61">
        <f>Schedule!AJ2</f>
        <v>27</v>
      </c>
      <c r="AI2" s="61">
        <f>Schedule!AK2</f>
        <v>28</v>
      </c>
      <c r="AJ2" s="61">
        <f>Schedule!AL2</f>
        <v>29</v>
      </c>
    </row>
    <row r="3" spans="1:37" ht="18" customHeight="1" thickBot="1" x14ac:dyDescent="0.3">
      <c r="A3" s="59">
        <f>Schedule!AP3</f>
        <v>0</v>
      </c>
      <c r="B3" s="60" t="str">
        <f>Schedule!AQ3</f>
        <v>OFF</v>
      </c>
      <c r="C3" s="75">
        <f>COUNTIF(Schedule!E$3:E$20,"=0")</f>
        <v>8</v>
      </c>
      <c r="D3" s="75">
        <f>COUNTIF(Schedule!F$3:F$20,"=0")</f>
        <v>8</v>
      </c>
      <c r="E3" s="75">
        <f>COUNTIF(Schedule!G$3:G$20,"=0")</f>
        <v>8</v>
      </c>
      <c r="F3" s="75">
        <f>COUNTIF(Schedule!H$3:H$20,"=0")</f>
        <v>8</v>
      </c>
      <c r="G3" s="75">
        <f>COUNTIF(Schedule!I$3:I$20,"=0")</f>
        <v>8</v>
      </c>
      <c r="H3" s="75">
        <f>COUNTIF(Schedule!J$3:J$20,"=0")</f>
        <v>8</v>
      </c>
      <c r="I3" s="75">
        <f>COUNTIF(Schedule!K$3:K$20,"=0")</f>
        <v>8</v>
      </c>
      <c r="J3" s="75">
        <f>COUNTIF(Schedule!L$3:L$20,"=0")</f>
        <v>8</v>
      </c>
      <c r="K3" s="75">
        <f>COUNTIF(Schedule!M$3:M$20,"=0")</f>
        <v>8</v>
      </c>
      <c r="L3" s="75">
        <f>COUNTIF(Schedule!N$3:N$20,"=0")</f>
        <v>8</v>
      </c>
      <c r="M3" s="75">
        <f>COUNTIF(Schedule!O$3:O$20,"=0")</f>
        <v>8</v>
      </c>
      <c r="N3" s="75">
        <f>COUNTIF(Schedule!P$3:P$20,"=0")</f>
        <v>8</v>
      </c>
      <c r="O3" s="75">
        <f>COUNTIF(Schedule!Q$3:Q$20,"=0")</f>
        <v>8</v>
      </c>
      <c r="P3" s="75">
        <f>COUNTIF(Schedule!R$3:R$20,"=0")</f>
        <v>8</v>
      </c>
      <c r="Q3" s="75">
        <f>COUNTIF(Schedule!S$3:S$20,"=0")</f>
        <v>8</v>
      </c>
      <c r="R3" s="75">
        <f>COUNTIF(Schedule!T$3:T$20,"=0")</f>
        <v>8</v>
      </c>
      <c r="S3" s="75">
        <f>COUNTIF(Schedule!U$3:U$20,"=0")</f>
        <v>8</v>
      </c>
      <c r="T3" s="75">
        <f>COUNTIF(Schedule!V$3:V$20,"=0")</f>
        <v>8</v>
      </c>
      <c r="U3" s="75">
        <f>COUNTIF(Schedule!W$3:W$20,"=0")</f>
        <v>8</v>
      </c>
      <c r="V3" s="75">
        <f>COUNTIF(Schedule!X$3:X$20,"=0")</f>
        <v>8</v>
      </c>
      <c r="W3" s="75">
        <f>COUNTIF(Schedule!Y$3:Y$20,"=0")</f>
        <v>8</v>
      </c>
      <c r="X3" s="75">
        <f>COUNTIF(Schedule!Z$3:Z$20,"=0")</f>
        <v>8</v>
      </c>
      <c r="Y3" s="75">
        <f>COUNTIF(Schedule!AA$3:AA$20,"=0")</f>
        <v>8</v>
      </c>
      <c r="Z3" s="75">
        <f>COUNTIF(Schedule!AB$3:AB$20,"=0")</f>
        <v>8</v>
      </c>
      <c r="AA3" s="75">
        <f>COUNTIF(Schedule!AC$3:AC$20,"=0")</f>
        <v>8</v>
      </c>
      <c r="AB3" s="75">
        <f>COUNTIF(Schedule!AD$3:AD$20,"=0")</f>
        <v>8</v>
      </c>
      <c r="AC3" s="75">
        <f>COUNTIF(Schedule!AE$3:AE$20,"=0")</f>
        <v>8</v>
      </c>
      <c r="AD3" s="75">
        <f>COUNTIF(Schedule!AF$3:AF$20,"=0")</f>
        <v>8</v>
      </c>
      <c r="AE3" s="75">
        <f>COUNTIF(Schedule!AG$3:AG$20,"=0")</f>
        <v>8</v>
      </c>
      <c r="AF3" s="75">
        <f>COUNTIF(Schedule!AH$3:AH$20,"=0")</f>
        <v>8</v>
      </c>
      <c r="AG3" s="75">
        <f>COUNTIF(Schedule!AI$3:AI$20,"=0")</f>
        <v>8</v>
      </c>
      <c r="AH3" s="75">
        <f>COUNTIF(Schedule!AJ$3:AJ$20,"=0")</f>
        <v>8</v>
      </c>
      <c r="AI3" s="75">
        <f>COUNTIF(Schedule!AK$3:AK$20,"=0")</f>
        <v>8</v>
      </c>
      <c r="AJ3" s="75">
        <f>COUNTIF(Schedule!AL$3:AL$20,"=0")</f>
        <v>8</v>
      </c>
      <c r="AK3" s="57">
        <v>0</v>
      </c>
    </row>
    <row r="4" spans="1:37" ht="18" customHeight="1" thickBot="1" x14ac:dyDescent="0.3">
      <c r="A4" s="59">
        <f>Schedule!AP4</f>
        <v>1</v>
      </c>
      <c r="B4" s="60" t="str">
        <f>Schedule!AQ4</f>
        <v>Art(1)/ Stop 7</v>
      </c>
      <c r="C4" s="75">
        <f>COUNTIF(Schedule!E$3:E$20,"=1")</f>
        <v>1</v>
      </c>
      <c r="D4" s="75">
        <f>COUNTIF(Schedule!F$3:F$20,"=1")</f>
        <v>1</v>
      </c>
      <c r="E4" s="75">
        <f>COUNTIF(Schedule!G$3:G$20,"=1")</f>
        <v>1</v>
      </c>
      <c r="F4" s="75">
        <f>COUNTIF(Schedule!H$3:H$20,"=1")</f>
        <v>1</v>
      </c>
      <c r="G4" s="75">
        <f>COUNTIF(Schedule!I$3:I$20,"=1")</f>
        <v>1</v>
      </c>
      <c r="H4" s="75">
        <f>COUNTIF(Schedule!J$3:J$20,"=1")</f>
        <v>1</v>
      </c>
      <c r="I4" s="75">
        <f>COUNTIF(Schedule!K$3:K$20,"=1")</f>
        <v>1</v>
      </c>
      <c r="J4" s="75">
        <f>COUNTIF(Schedule!L$3:L$20,"=1")</f>
        <v>1</v>
      </c>
      <c r="K4" s="75">
        <f>COUNTIF(Schedule!M$3:M$20,"=1")</f>
        <v>1</v>
      </c>
      <c r="L4" s="75">
        <f>COUNTIF(Schedule!N$3:N$20,"=1")</f>
        <v>1</v>
      </c>
      <c r="M4" s="75">
        <f>COUNTIF(Schedule!O$3:O$20,"=1")</f>
        <v>1</v>
      </c>
      <c r="N4" s="75">
        <f>COUNTIF(Schedule!P$3:P$20,"=1")</f>
        <v>1</v>
      </c>
      <c r="O4" s="75">
        <f>COUNTIF(Schedule!Q$3:Q$20,"=1")</f>
        <v>1</v>
      </c>
      <c r="P4" s="75">
        <f>COUNTIF(Schedule!R$3:R$20,"=1")</f>
        <v>1</v>
      </c>
      <c r="Q4" s="75">
        <f>COUNTIF(Schedule!S$3:S$20,"=1")</f>
        <v>1</v>
      </c>
      <c r="R4" s="75">
        <f>COUNTIF(Schedule!T$3:T$20,"=1")</f>
        <v>1</v>
      </c>
      <c r="S4" s="75">
        <f>COUNTIF(Schedule!U$3:U$20,"=1")</f>
        <v>1</v>
      </c>
      <c r="T4" s="75">
        <f>COUNTIF(Schedule!V$3:V$20,"=1")</f>
        <v>1</v>
      </c>
      <c r="U4" s="75">
        <f>COUNTIF(Schedule!W$3:W$20,"=1")</f>
        <v>1</v>
      </c>
      <c r="V4" s="75">
        <f>COUNTIF(Schedule!X$3:X$20,"=1")</f>
        <v>1</v>
      </c>
      <c r="W4" s="75">
        <f>COUNTIF(Schedule!Y$3:Y$20,"=1")</f>
        <v>1</v>
      </c>
      <c r="X4" s="75">
        <f>COUNTIF(Schedule!Z$3:Z$20,"=1")</f>
        <v>1</v>
      </c>
      <c r="Y4" s="75">
        <f>COUNTIF(Schedule!AA$3:AA$20,"=1")</f>
        <v>1</v>
      </c>
      <c r="Z4" s="75">
        <f>COUNTIF(Schedule!AB$3:AB$20,"=1")</f>
        <v>1</v>
      </c>
      <c r="AA4" s="75">
        <f>COUNTIF(Schedule!AC$3:AC$20,"=1")</f>
        <v>1</v>
      </c>
      <c r="AB4" s="75">
        <f>COUNTIF(Schedule!AD$3:AD$20,"=1")</f>
        <v>1</v>
      </c>
      <c r="AC4" s="75">
        <f>COUNTIF(Schedule!AE$3:AE$20,"=1")</f>
        <v>1</v>
      </c>
      <c r="AD4" s="75">
        <f>COUNTIF(Schedule!AF$3:AF$20,"=1")</f>
        <v>1</v>
      </c>
      <c r="AE4" s="75">
        <f>COUNTIF(Schedule!AG$3:AG$20,"=1")</f>
        <v>1</v>
      </c>
      <c r="AF4" s="75">
        <f>COUNTIF(Schedule!AH$3:AH$20,"=1")</f>
        <v>1</v>
      </c>
      <c r="AG4" s="75">
        <f>COUNTIF(Schedule!AI$3:AI$20,"=1")</f>
        <v>1</v>
      </c>
      <c r="AH4" s="75">
        <f>COUNTIF(Schedule!AJ$3:AJ$20,"=1")</f>
        <v>1</v>
      </c>
      <c r="AI4" s="75">
        <f>COUNTIF(Schedule!AK$3:AK$20,"=1")</f>
        <v>1</v>
      </c>
      <c r="AJ4" s="75">
        <f>COUNTIF(Schedule!AL$3:AL$20,"=1")</f>
        <v>1</v>
      </c>
      <c r="AK4" s="57">
        <f>AK3+1</f>
        <v>1</v>
      </c>
    </row>
    <row r="5" spans="1:37" ht="18" customHeight="1" thickBot="1" x14ac:dyDescent="0.3">
      <c r="A5" s="59">
        <f>Schedule!AP5</f>
        <v>2</v>
      </c>
      <c r="B5" s="60" t="str">
        <f>Schedule!AQ5</f>
        <v xml:space="preserve">Booth(1)/ VC </v>
      </c>
      <c r="C5" s="75">
        <f>COUNTIF(Schedule!E$3:E$20,"=2")</f>
        <v>1</v>
      </c>
      <c r="D5" s="75">
        <f>COUNTIF(Schedule!F$3:F$20,"=2")</f>
        <v>1</v>
      </c>
      <c r="E5" s="75">
        <f>COUNTIF(Schedule!G$3:G$20,"=2")</f>
        <v>1</v>
      </c>
      <c r="F5" s="75">
        <f>COUNTIF(Schedule!H$3:H$20,"=2")</f>
        <v>1</v>
      </c>
      <c r="G5" s="75">
        <f>COUNTIF(Schedule!I$3:I$20,"=2")</f>
        <v>1</v>
      </c>
      <c r="H5" s="75">
        <f>COUNTIF(Schedule!J$3:J$20,"=2")</f>
        <v>1</v>
      </c>
      <c r="I5" s="75">
        <f>COUNTIF(Schedule!K$3:K$20,"=2")</f>
        <v>1</v>
      </c>
      <c r="J5" s="75">
        <f>COUNTIF(Schedule!L$3:L$20,"=2")</f>
        <v>1</v>
      </c>
      <c r="K5" s="75">
        <f>COUNTIF(Schedule!M$3:M$20,"=2")</f>
        <v>1</v>
      </c>
      <c r="L5" s="75">
        <f>COUNTIF(Schedule!N$3:N$20,"=2")</f>
        <v>1</v>
      </c>
      <c r="M5" s="75">
        <f>COUNTIF(Schedule!O$3:O$20,"=2")</f>
        <v>1</v>
      </c>
      <c r="N5" s="75">
        <f>COUNTIF(Schedule!P$3:P$20,"=2")</f>
        <v>1</v>
      </c>
      <c r="O5" s="75">
        <f>COUNTIF(Schedule!Q$3:Q$20,"=2")</f>
        <v>1</v>
      </c>
      <c r="P5" s="75">
        <f>COUNTIF(Schedule!R$3:R$20,"=2")</f>
        <v>1</v>
      </c>
      <c r="Q5" s="75">
        <f>COUNTIF(Schedule!S$3:S$20,"=2")</f>
        <v>1</v>
      </c>
      <c r="R5" s="75">
        <f>COUNTIF(Schedule!T$3:T$20,"=2")</f>
        <v>1</v>
      </c>
      <c r="S5" s="75">
        <f>COUNTIF(Schedule!U$3:U$20,"=2")</f>
        <v>1</v>
      </c>
      <c r="T5" s="75">
        <f>COUNTIF(Schedule!V$3:V$20,"=2")</f>
        <v>1</v>
      </c>
      <c r="U5" s="75">
        <f>COUNTIF(Schedule!W$3:W$20,"=2")</f>
        <v>1</v>
      </c>
      <c r="V5" s="75">
        <f>COUNTIF(Schedule!X$3:X$20,"=2")</f>
        <v>1</v>
      </c>
      <c r="W5" s="75">
        <f>COUNTIF(Schedule!Y$3:Y$20,"=2")</f>
        <v>1</v>
      </c>
      <c r="X5" s="75">
        <f>COUNTIF(Schedule!Z$3:Z$20,"=2")</f>
        <v>1</v>
      </c>
      <c r="Y5" s="75">
        <f>COUNTIF(Schedule!AA$3:AA$20,"=2")</f>
        <v>1</v>
      </c>
      <c r="Z5" s="75">
        <f>COUNTIF(Schedule!AB$3:AB$20,"=2")</f>
        <v>1</v>
      </c>
      <c r="AA5" s="75">
        <f>COUNTIF(Schedule!AC$3:AC$20,"=2")</f>
        <v>1</v>
      </c>
      <c r="AB5" s="75">
        <f>COUNTIF(Schedule!AD$3:AD$20,"=2")</f>
        <v>1</v>
      </c>
      <c r="AC5" s="75">
        <f>COUNTIF(Schedule!AE$3:AE$20,"=2")</f>
        <v>1</v>
      </c>
      <c r="AD5" s="75">
        <f>COUNTIF(Schedule!AF$3:AF$20,"=2")</f>
        <v>1</v>
      </c>
      <c r="AE5" s="75">
        <f>COUNTIF(Schedule!AG$3:AG$20,"=2")</f>
        <v>1</v>
      </c>
      <c r="AF5" s="75">
        <f>COUNTIF(Schedule!AH$3:AH$20,"=2")</f>
        <v>1</v>
      </c>
      <c r="AG5" s="75">
        <f>COUNTIF(Schedule!AI$3:AI$20,"=2")</f>
        <v>1</v>
      </c>
      <c r="AH5" s="75">
        <f>COUNTIF(Schedule!AJ$3:AJ$20,"=2")</f>
        <v>1</v>
      </c>
      <c r="AI5" s="75">
        <f>COUNTIF(Schedule!AK$3:AK$20,"=2")</f>
        <v>1</v>
      </c>
      <c r="AJ5" s="75">
        <f>COUNTIF(Schedule!AL$3:AL$20,"=2")</f>
        <v>1</v>
      </c>
      <c r="AK5" s="57">
        <f t="shared" ref="AK5:AK18" si="0">AK4+1</f>
        <v>2</v>
      </c>
    </row>
    <row r="6" spans="1:37" ht="18" customHeight="1" thickBot="1" x14ac:dyDescent="0.3">
      <c r="A6" s="59">
        <f>Schedule!AP6</f>
        <v>3</v>
      </c>
      <c r="B6" s="60" t="str">
        <f>Schedule!AQ6</f>
        <v xml:space="preserve">Booth(2)/ VC </v>
      </c>
      <c r="C6" s="75">
        <f>COUNTIF(Schedule!E$3:E$20,"=3")</f>
        <v>1</v>
      </c>
      <c r="D6" s="75">
        <f>COUNTIF(Schedule!F$3:F$20,"=3")</f>
        <v>1</v>
      </c>
      <c r="E6" s="75">
        <f>COUNTIF(Schedule!G$3:G$20,"=3")</f>
        <v>1</v>
      </c>
      <c r="F6" s="75">
        <f>COUNTIF(Schedule!H$3:H$20,"=3")</f>
        <v>1</v>
      </c>
      <c r="G6" s="75">
        <f>COUNTIF(Schedule!I$3:I$20,"=3")</f>
        <v>1</v>
      </c>
      <c r="H6" s="75">
        <f>COUNTIF(Schedule!J$3:J$20,"=3")</f>
        <v>1</v>
      </c>
      <c r="I6" s="75">
        <f>COUNTIF(Schedule!K$3:K$20,"=3")</f>
        <v>1</v>
      </c>
      <c r="J6" s="75">
        <f>COUNTIF(Schedule!L$3:L$20,"=3")</f>
        <v>1</v>
      </c>
      <c r="K6" s="75">
        <f>COUNTIF(Schedule!M$3:M$20,"=3")</f>
        <v>1</v>
      </c>
      <c r="L6" s="75">
        <f>COUNTIF(Schedule!N$3:N$20,"=3")</f>
        <v>1</v>
      </c>
      <c r="M6" s="75">
        <f>COUNTIF(Schedule!O$3:O$20,"=3")</f>
        <v>1</v>
      </c>
      <c r="N6" s="75">
        <f>COUNTIF(Schedule!P$3:P$20,"=3")</f>
        <v>1</v>
      </c>
      <c r="O6" s="75">
        <f>COUNTIF(Schedule!Q$3:Q$20,"=3")</f>
        <v>1</v>
      </c>
      <c r="P6" s="75">
        <f>COUNTIF(Schedule!R$3:R$20,"=3")</f>
        <v>1</v>
      </c>
      <c r="Q6" s="75">
        <f>COUNTIF(Schedule!S$3:S$20,"=3")</f>
        <v>1</v>
      </c>
      <c r="R6" s="75">
        <f>COUNTIF(Schedule!T$3:T$20,"=3")</f>
        <v>1</v>
      </c>
      <c r="S6" s="75">
        <f>COUNTIF(Schedule!U$3:U$20,"=3")</f>
        <v>1</v>
      </c>
      <c r="T6" s="75">
        <f>COUNTIF(Schedule!V$3:V$20,"=3")</f>
        <v>1</v>
      </c>
      <c r="U6" s="75">
        <f>COUNTIF(Schedule!W$3:W$20,"=3")</f>
        <v>1</v>
      </c>
      <c r="V6" s="75">
        <f>COUNTIF(Schedule!X$3:X$20,"=3")</f>
        <v>1</v>
      </c>
      <c r="W6" s="75">
        <f>COUNTIF(Schedule!Y$3:Y$20,"=3")</f>
        <v>1</v>
      </c>
      <c r="X6" s="75">
        <f>COUNTIF(Schedule!Z$3:Z$20,"=3")</f>
        <v>1</v>
      </c>
      <c r="Y6" s="75">
        <f>COUNTIF(Schedule!AA$3:AA$20,"=3")</f>
        <v>1</v>
      </c>
      <c r="Z6" s="75">
        <f>COUNTIF(Schedule!AB$3:AB$20,"=3")</f>
        <v>1</v>
      </c>
      <c r="AA6" s="75">
        <f>COUNTIF(Schedule!AC$3:AC$20,"=3")</f>
        <v>1</v>
      </c>
      <c r="AB6" s="75">
        <f>COUNTIF(Schedule!AD$3:AD$20,"=3")</f>
        <v>1</v>
      </c>
      <c r="AC6" s="75">
        <f>COUNTIF(Schedule!AE$3:AE$20,"=3")</f>
        <v>1</v>
      </c>
      <c r="AD6" s="75">
        <f>COUNTIF(Schedule!AF$3:AF$20,"=3")</f>
        <v>1</v>
      </c>
      <c r="AE6" s="75">
        <f>COUNTIF(Schedule!AG$3:AG$20,"=3")</f>
        <v>1</v>
      </c>
      <c r="AF6" s="75">
        <f>COUNTIF(Schedule!AH$3:AH$20,"=3")</f>
        <v>1</v>
      </c>
      <c r="AG6" s="75">
        <f>COUNTIF(Schedule!AI$3:AI$20,"=3")</f>
        <v>1</v>
      </c>
      <c r="AH6" s="75">
        <f>COUNTIF(Schedule!AJ$3:AJ$20,"=3")</f>
        <v>1</v>
      </c>
      <c r="AI6" s="75">
        <f>COUNTIF(Schedule!AK$3:AK$20,"=3")</f>
        <v>1</v>
      </c>
      <c r="AJ6" s="75">
        <f>COUNTIF(Schedule!AL$3:AL$20,"=3")</f>
        <v>1</v>
      </c>
      <c r="AK6" s="57">
        <f t="shared" si="0"/>
        <v>3</v>
      </c>
    </row>
    <row r="7" spans="1:37" ht="18" customHeight="1" thickBot="1" x14ac:dyDescent="0.3">
      <c r="A7" s="59">
        <f>Schedule!AP7</f>
        <v>4</v>
      </c>
      <c r="B7" s="60" t="str">
        <f>Schedule!AQ7</f>
        <v xml:space="preserve">VC(1)/ Booth </v>
      </c>
      <c r="C7" s="75">
        <f>COUNTIF(Schedule!E$3:E$20,"=4")</f>
        <v>1</v>
      </c>
      <c r="D7" s="75">
        <f>COUNTIF(Schedule!F$3:F$20,"=4")</f>
        <v>1</v>
      </c>
      <c r="E7" s="75">
        <f>COUNTIF(Schedule!G$3:G$20,"=4")</f>
        <v>1</v>
      </c>
      <c r="F7" s="75">
        <f>COUNTIF(Schedule!H$3:H$20,"=4")</f>
        <v>1</v>
      </c>
      <c r="G7" s="75">
        <f>COUNTIF(Schedule!I$3:I$20,"=4")</f>
        <v>1</v>
      </c>
      <c r="H7" s="75">
        <f>COUNTIF(Schedule!J$3:J$20,"=4")</f>
        <v>1</v>
      </c>
      <c r="I7" s="75">
        <f>COUNTIF(Schedule!K$3:K$20,"=4")</f>
        <v>1</v>
      </c>
      <c r="J7" s="75">
        <f>COUNTIF(Schedule!L$3:L$20,"=4")</f>
        <v>1</v>
      </c>
      <c r="K7" s="75">
        <f>COUNTIF(Schedule!M$3:M$20,"=4")</f>
        <v>1</v>
      </c>
      <c r="L7" s="75">
        <f>COUNTIF(Schedule!N$3:N$20,"=4")</f>
        <v>1</v>
      </c>
      <c r="M7" s="75">
        <f>COUNTIF(Schedule!O$3:O$20,"=4")</f>
        <v>1</v>
      </c>
      <c r="N7" s="75">
        <f>COUNTIF(Schedule!P$3:P$20,"=4")</f>
        <v>1</v>
      </c>
      <c r="O7" s="75">
        <f>COUNTIF(Schedule!Q$3:Q$20,"=4")</f>
        <v>1</v>
      </c>
      <c r="P7" s="75">
        <f>COUNTIF(Schedule!R$3:R$20,"=4")</f>
        <v>1</v>
      </c>
      <c r="Q7" s="75">
        <f>COUNTIF(Schedule!S$3:S$20,"=4")</f>
        <v>1</v>
      </c>
      <c r="R7" s="75">
        <f>COUNTIF(Schedule!T$3:T$20,"=4")</f>
        <v>1</v>
      </c>
      <c r="S7" s="75">
        <f>COUNTIF(Schedule!U$3:U$20,"=4")</f>
        <v>1</v>
      </c>
      <c r="T7" s="75">
        <f>COUNTIF(Schedule!V$3:V$20,"=4")</f>
        <v>1</v>
      </c>
      <c r="U7" s="75">
        <f>COUNTIF(Schedule!W$3:W$20,"=4")</f>
        <v>1</v>
      </c>
      <c r="V7" s="75">
        <f>COUNTIF(Schedule!X$3:X$20,"=4")</f>
        <v>1</v>
      </c>
      <c r="W7" s="75">
        <f>COUNTIF(Schedule!Y$3:Y$20,"=4")</f>
        <v>1</v>
      </c>
      <c r="X7" s="75">
        <f>COUNTIF(Schedule!Z$3:Z$20,"=4")</f>
        <v>1</v>
      </c>
      <c r="Y7" s="75">
        <f>COUNTIF(Schedule!AA$3:AA$20,"=4")</f>
        <v>1</v>
      </c>
      <c r="Z7" s="75">
        <f>COUNTIF(Schedule!AB$3:AB$20,"=4")</f>
        <v>1</v>
      </c>
      <c r="AA7" s="75">
        <f>COUNTIF(Schedule!AC$3:AC$20,"=4")</f>
        <v>1</v>
      </c>
      <c r="AB7" s="75">
        <f>COUNTIF(Schedule!AD$3:AD$20,"=4")</f>
        <v>1</v>
      </c>
      <c r="AC7" s="75">
        <f>COUNTIF(Schedule!AE$3:AE$20,"=4")</f>
        <v>1</v>
      </c>
      <c r="AD7" s="75">
        <f>COUNTIF(Schedule!AF$3:AF$20,"=4")</f>
        <v>1</v>
      </c>
      <c r="AE7" s="75">
        <f>COUNTIF(Schedule!AG$3:AG$20,"=4")</f>
        <v>1</v>
      </c>
      <c r="AF7" s="75">
        <f>COUNTIF(Schedule!AH$3:AH$20,"=4")</f>
        <v>1</v>
      </c>
      <c r="AG7" s="75">
        <f>COUNTIF(Schedule!AI$3:AI$20,"=4")</f>
        <v>1</v>
      </c>
      <c r="AH7" s="75">
        <f>COUNTIF(Schedule!AJ$3:AJ$20,"=4")</f>
        <v>1</v>
      </c>
      <c r="AI7" s="75">
        <f>COUNTIF(Schedule!AK$3:AK$20,"=4")</f>
        <v>1</v>
      </c>
      <c r="AJ7" s="75">
        <f>COUNTIF(Schedule!AL$3:AL$20,"=4")</f>
        <v>1</v>
      </c>
      <c r="AK7" s="57">
        <f t="shared" si="0"/>
        <v>4</v>
      </c>
    </row>
    <row r="8" spans="1:37" ht="18" customHeight="1" thickBot="1" x14ac:dyDescent="0.3">
      <c r="A8" s="59">
        <f>Schedule!AP8</f>
        <v>5</v>
      </c>
      <c r="B8" s="60" t="str">
        <f>Schedule!AQ8</f>
        <v xml:space="preserve">VC(2)/ Booth  </v>
      </c>
      <c r="C8" s="75">
        <f>COUNTIF(Schedule!E$3:E$20,"=5")</f>
        <v>1</v>
      </c>
      <c r="D8" s="75">
        <f>COUNTIF(Schedule!F$3:F$20,"=5")</f>
        <v>1</v>
      </c>
      <c r="E8" s="75">
        <f>COUNTIF(Schedule!G$3:G$20,"=5")</f>
        <v>1</v>
      </c>
      <c r="F8" s="75">
        <f>COUNTIF(Schedule!H$3:H$20,"=5")</f>
        <v>1</v>
      </c>
      <c r="G8" s="75">
        <f>COUNTIF(Schedule!I$3:I$20,"=5")</f>
        <v>1</v>
      </c>
      <c r="H8" s="75">
        <f>COUNTIF(Schedule!J$3:J$20,"=5")</f>
        <v>1</v>
      </c>
      <c r="I8" s="75">
        <f>COUNTIF(Schedule!K$3:K$20,"=5")</f>
        <v>1</v>
      </c>
      <c r="J8" s="75">
        <f>COUNTIF(Schedule!L$3:L$20,"=5")</f>
        <v>1</v>
      </c>
      <c r="K8" s="75">
        <f>COUNTIF(Schedule!M$3:M$20,"=5")</f>
        <v>1</v>
      </c>
      <c r="L8" s="75">
        <f>COUNTIF(Schedule!N$3:N$20,"=5")</f>
        <v>1</v>
      </c>
      <c r="M8" s="75">
        <f>COUNTIF(Schedule!O$3:O$20,"=5")</f>
        <v>1</v>
      </c>
      <c r="N8" s="75">
        <f>COUNTIF(Schedule!P$3:P$20,"=5")</f>
        <v>1</v>
      </c>
      <c r="O8" s="75">
        <f>COUNTIF(Schedule!Q$3:Q$20,"=5")</f>
        <v>1</v>
      </c>
      <c r="P8" s="75">
        <f>COUNTIF(Schedule!R$3:R$20,"=5")</f>
        <v>1</v>
      </c>
      <c r="Q8" s="75">
        <f>COUNTIF(Schedule!S$3:S$20,"=5")</f>
        <v>1</v>
      </c>
      <c r="R8" s="75">
        <f>COUNTIF(Schedule!T$3:T$20,"=5")</f>
        <v>1</v>
      </c>
      <c r="S8" s="75">
        <f>COUNTIF(Schedule!U$3:U$20,"=5")</f>
        <v>1</v>
      </c>
      <c r="T8" s="75">
        <f>COUNTIF(Schedule!V$3:V$20,"=5")</f>
        <v>1</v>
      </c>
      <c r="U8" s="75">
        <f>COUNTIF(Schedule!W$3:W$20,"=5")</f>
        <v>1</v>
      </c>
      <c r="V8" s="75">
        <f>COUNTIF(Schedule!X$3:X$20,"=5")</f>
        <v>1</v>
      </c>
      <c r="W8" s="75">
        <f>COUNTIF(Schedule!Y$3:Y$20,"=5")</f>
        <v>1</v>
      </c>
      <c r="X8" s="75">
        <f>COUNTIF(Schedule!Z$3:Z$20,"=5")</f>
        <v>1</v>
      </c>
      <c r="Y8" s="75">
        <f>COUNTIF(Schedule!AA$3:AA$20,"=5")</f>
        <v>1</v>
      </c>
      <c r="Z8" s="75">
        <f>COUNTIF(Schedule!AB$3:AB$20,"=5")</f>
        <v>1</v>
      </c>
      <c r="AA8" s="75">
        <f>COUNTIF(Schedule!AC$3:AC$20,"=5")</f>
        <v>1</v>
      </c>
      <c r="AB8" s="75">
        <f>COUNTIF(Schedule!AD$3:AD$20,"=5")</f>
        <v>1</v>
      </c>
      <c r="AC8" s="75">
        <f>COUNTIF(Schedule!AE$3:AE$20,"=5")</f>
        <v>1</v>
      </c>
      <c r="AD8" s="75">
        <f>COUNTIF(Schedule!AF$3:AF$20,"=5")</f>
        <v>1</v>
      </c>
      <c r="AE8" s="75">
        <f>COUNTIF(Schedule!AG$3:AG$20,"=5")</f>
        <v>1</v>
      </c>
      <c r="AF8" s="75">
        <f>COUNTIF(Schedule!AH$3:AH$20,"=5")</f>
        <v>1</v>
      </c>
      <c r="AG8" s="75">
        <f>COUNTIF(Schedule!AI$3:AI$20,"=5")</f>
        <v>1</v>
      </c>
      <c r="AH8" s="75">
        <f>COUNTIF(Schedule!AJ$3:AJ$20,"=5")</f>
        <v>1</v>
      </c>
      <c r="AI8" s="75">
        <f>COUNTIF(Schedule!AK$3:AK$20,"=5")</f>
        <v>1</v>
      </c>
      <c r="AJ8" s="75">
        <f>COUNTIF(Schedule!AL$3:AL$20,"=5")</f>
        <v>1</v>
      </c>
      <c r="AK8" s="57">
        <f t="shared" si="0"/>
        <v>5</v>
      </c>
    </row>
    <row r="9" spans="1:37" s="14" customFormat="1" ht="18" customHeight="1" thickBot="1" x14ac:dyDescent="0.3">
      <c r="A9" s="59">
        <f>Schedule!AP9</f>
        <v>6</v>
      </c>
      <c r="B9" s="60" t="str">
        <f>Schedule!AQ9</f>
        <v>Stop 7(2)</v>
      </c>
      <c r="C9" s="75">
        <f>COUNTIF(Schedule!E$3:E$20,"=6")</f>
        <v>1</v>
      </c>
      <c r="D9" s="75">
        <f>COUNTIF(Schedule!F$3:F$20,"=6")</f>
        <v>1</v>
      </c>
      <c r="E9" s="75">
        <f>COUNTIF(Schedule!G$3:G$20,"=6")</f>
        <v>1</v>
      </c>
      <c r="F9" s="75">
        <f>COUNTIF(Schedule!H$3:H$20,"=6")</f>
        <v>1</v>
      </c>
      <c r="G9" s="75">
        <f>COUNTIF(Schedule!I$3:I$20,"=6")</f>
        <v>1</v>
      </c>
      <c r="H9" s="75">
        <f>COUNTIF(Schedule!J$3:J$20,"=6")</f>
        <v>1</v>
      </c>
      <c r="I9" s="75">
        <f>COUNTIF(Schedule!K$3:K$20,"=6")</f>
        <v>1</v>
      </c>
      <c r="J9" s="75">
        <f>COUNTIF(Schedule!L$3:L$20,"=6")</f>
        <v>1</v>
      </c>
      <c r="K9" s="75">
        <f>COUNTIF(Schedule!M$3:M$20,"=6")</f>
        <v>1</v>
      </c>
      <c r="L9" s="75">
        <f>COUNTIF(Schedule!N$3:N$20,"=6")</f>
        <v>1</v>
      </c>
      <c r="M9" s="75">
        <f>COUNTIF(Schedule!O$3:O$20,"=6")</f>
        <v>1</v>
      </c>
      <c r="N9" s="75">
        <f>COUNTIF(Schedule!P$3:P$20,"=6")</f>
        <v>1</v>
      </c>
      <c r="O9" s="75">
        <f>COUNTIF(Schedule!Q$3:Q$20,"=6")</f>
        <v>1</v>
      </c>
      <c r="P9" s="75">
        <f>COUNTIF(Schedule!R$3:R$20,"=6")</f>
        <v>1</v>
      </c>
      <c r="Q9" s="75">
        <f>COUNTIF(Schedule!S$3:S$20,"=6")</f>
        <v>1</v>
      </c>
      <c r="R9" s="75">
        <f>COUNTIF(Schedule!T$3:T$20,"=6")</f>
        <v>1</v>
      </c>
      <c r="S9" s="75">
        <f>COUNTIF(Schedule!U$3:U$20,"=6")</f>
        <v>1</v>
      </c>
      <c r="T9" s="75">
        <f>COUNTIF(Schedule!V$3:V$20,"=6")</f>
        <v>1</v>
      </c>
      <c r="U9" s="75">
        <f>COUNTIF(Schedule!W$3:W$20,"=6")</f>
        <v>1</v>
      </c>
      <c r="V9" s="75">
        <f>COUNTIF(Schedule!X$3:X$20,"=6")</f>
        <v>1</v>
      </c>
      <c r="W9" s="75">
        <f>COUNTIF(Schedule!Y$3:Y$20,"=6")</f>
        <v>1</v>
      </c>
      <c r="X9" s="75">
        <f>COUNTIF(Schedule!Z$3:Z$20,"=6")</f>
        <v>1</v>
      </c>
      <c r="Y9" s="75">
        <f>COUNTIF(Schedule!AA$3:AA$20,"=6")</f>
        <v>1</v>
      </c>
      <c r="Z9" s="75">
        <f>COUNTIF(Schedule!AB$3:AB$20,"=6")</f>
        <v>1</v>
      </c>
      <c r="AA9" s="75">
        <f>COUNTIF(Schedule!AC$3:AC$20,"=6")</f>
        <v>1</v>
      </c>
      <c r="AB9" s="75">
        <f>COUNTIF(Schedule!AD$3:AD$20,"=6")</f>
        <v>1</v>
      </c>
      <c r="AC9" s="75">
        <f>COUNTIF(Schedule!AE$3:AE$20,"=6")</f>
        <v>1</v>
      </c>
      <c r="AD9" s="75">
        <f>COUNTIF(Schedule!AF$3:AF$20,"=6")</f>
        <v>1</v>
      </c>
      <c r="AE9" s="75">
        <f>COUNTIF(Schedule!AG$3:AG$20,"=6")</f>
        <v>1</v>
      </c>
      <c r="AF9" s="75">
        <f>COUNTIF(Schedule!AH$3:AH$20,"=6")</f>
        <v>1</v>
      </c>
      <c r="AG9" s="75">
        <f>COUNTIF(Schedule!AI$3:AI$20,"=6")</f>
        <v>1</v>
      </c>
      <c r="AH9" s="75">
        <f>COUNTIF(Schedule!AJ$3:AJ$20,"=6")</f>
        <v>1</v>
      </c>
      <c r="AI9" s="75">
        <f>COUNTIF(Schedule!AK$3:AK$20,"=6")</f>
        <v>1</v>
      </c>
      <c r="AJ9" s="75">
        <f>COUNTIF(Schedule!AL$3:AL$20,"=6")</f>
        <v>1</v>
      </c>
      <c r="AK9" s="57">
        <f t="shared" si="0"/>
        <v>6</v>
      </c>
    </row>
    <row r="10" spans="1:37" ht="18" customHeight="1" thickBot="1" x14ac:dyDescent="0.3">
      <c r="A10" s="59">
        <f>Schedule!AP10</f>
        <v>7</v>
      </c>
      <c r="B10" s="60" t="str">
        <f>Schedule!AQ10</f>
        <v>Stop 7(2)/ 5&amp;9</v>
      </c>
      <c r="C10" s="75">
        <f>COUNTIF(Schedule!E$3:E$20,"=7")</f>
        <v>1</v>
      </c>
      <c r="D10" s="75">
        <f>COUNTIF(Schedule!F$3:F$20,"=7")</f>
        <v>1</v>
      </c>
      <c r="E10" s="75">
        <f>COUNTIF(Schedule!G$3:G$20,"=7")</f>
        <v>1</v>
      </c>
      <c r="F10" s="75">
        <f>COUNTIF(Schedule!H$3:H$20,"=7")</f>
        <v>1</v>
      </c>
      <c r="G10" s="75">
        <f>COUNTIF(Schedule!I$3:I$20,"=7")</f>
        <v>1</v>
      </c>
      <c r="H10" s="75">
        <f>COUNTIF(Schedule!J$3:J$20,"=7")</f>
        <v>1</v>
      </c>
      <c r="I10" s="75">
        <f>COUNTIF(Schedule!K$3:K$20,"=7")</f>
        <v>1</v>
      </c>
      <c r="J10" s="75">
        <f>COUNTIF(Schedule!L$3:L$20,"=7")</f>
        <v>1</v>
      </c>
      <c r="K10" s="75">
        <f>COUNTIF(Schedule!M$3:M$20,"=7")</f>
        <v>1</v>
      </c>
      <c r="L10" s="75">
        <f>COUNTIF(Schedule!N$3:N$20,"=7")</f>
        <v>1</v>
      </c>
      <c r="M10" s="75">
        <f>COUNTIF(Schedule!O$3:O$20,"=7")</f>
        <v>1</v>
      </c>
      <c r="N10" s="75">
        <f>COUNTIF(Schedule!P$3:P$20,"=7")</f>
        <v>1</v>
      </c>
      <c r="O10" s="75">
        <f>COUNTIF(Schedule!Q$3:Q$20,"=7")</f>
        <v>1</v>
      </c>
      <c r="P10" s="75">
        <f>COUNTIF(Schedule!R$3:R$20,"=7")</f>
        <v>1</v>
      </c>
      <c r="Q10" s="75">
        <f>COUNTIF(Schedule!S$3:S$20,"=7")</f>
        <v>1</v>
      </c>
      <c r="R10" s="75">
        <f>COUNTIF(Schedule!T$3:T$20,"=7")</f>
        <v>1</v>
      </c>
      <c r="S10" s="75">
        <f>COUNTIF(Schedule!U$3:U$20,"=7")</f>
        <v>1</v>
      </c>
      <c r="T10" s="75">
        <f>COUNTIF(Schedule!V$3:V$20,"=7")</f>
        <v>1</v>
      </c>
      <c r="U10" s="75">
        <f>COUNTIF(Schedule!W$3:W$20,"=7")</f>
        <v>1</v>
      </c>
      <c r="V10" s="75">
        <f>COUNTIF(Schedule!X$3:X$20,"=7")</f>
        <v>1</v>
      </c>
      <c r="W10" s="75">
        <f>COUNTIF(Schedule!Y$3:Y$20,"=7")</f>
        <v>1</v>
      </c>
      <c r="X10" s="75">
        <f>COUNTIF(Schedule!Z$3:Z$20,"=7")</f>
        <v>1</v>
      </c>
      <c r="Y10" s="75">
        <f>COUNTIF(Schedule!AA$3:AA$20,"=7")</f>
        <v>1</v>
      </c>
      <c r="Z10" s="75">
        <f>COUNTIF(Schedule!AB$3:AB$20,"=7")</f>
        <v>1</v>
      </c>
      <c r="AA10" s="75">
        <f>COUNTIF(Schedule!AC$3:AC$20,"=7")</f>
        <v>1</v>
      </c>
      <c r="AB10" s="75">
        <f>COUNTIF(Schedule!AD$3:AD$20,"=7")</f>
        <v>1</v>
      </c>
      <c r="AC10" s="75">
        <f>COUNTIF(Schedule!AE$3:AE$20,"=7")</f>
        <v>1</v>
      </c>
      <c r="AD10" s="75">
        <f>COUNTIF(Schedule!AF$3:AF$20,"=7")</f>
        <v>1</v>
      </c>
      <c r="AE10" s="75">
        <f>COUNTIF(Schedule!AG$3:AG$20,"=7")</f>
        <v>1</v>
      </c>
      <c r="AF10" s="75">
        <f>COUNTIF(Schedule!AH$3:AH$20,"=7")</f>
        <v>1</v>
      </c>
      <c r="AG10" s="75">
        <f>COUNTIF(Schedule!AI$3:AI$20,"=7")</f>
        <v>1</v>
      </c>
      <c r="AH10" s="75">
        <f>COUNTIF(Schedule!AJ$3:AJ$20,"=7")</f>
        <v>1</v>
      </c>
      <c r="AI10" s="75">
        <f>COUNTIF(Schedule!AK$3:AK$20,"=7")</f>
        <v>1</v>
      </c>
      <c r="AJ10" s="75">
        <f>COUNTIF(Schedule!AL$3:AL$20,"=7")</f>
        <v>1</v>
      </c>
      <c r="AK10" s="57">
        <f t="shared" si="0"/>
        <v>7</v>
      </c>
    </row>
    <row r="11" spans="1:37" ht="18" customHeight="1" thickBot="1" x14ac:dyDescent="0.3">
      <c r="A11" s="59">
        <f>Schedule!AP11</f>
        <v>8</v>
      </c>
      <c r="B11" s="60" t="e">
        <f>Schedule!#REF!</f>
        <v>#REF!</v>
      </c>
      <c r="C11" s="75">
        <f>COUNTIF(Schedule!E$3:E$20,"=8")</f>
        <v>1</v>
      </c>
      <c r="D11" s="75">
        <f>COUNTIF(Schedule!F$3:F$20,"=8")</f>
        <v>1</v>
      </c>
      <c r="E11" s="75">
        <f>COUNTIF(Schedule!G$3:G$20,"=8")</f>
        <v>1</v>
      </c>
      <c r="F11" s="75">
        <f>COUNTIF(Schedule!H$3:H$20,"=8")</f>
        <v>1</v>
      </c>
      <c r="G11" s="75">
        <f>COUNTIF(Schedule!I$3:I$20,"=8")</f>
        <v>1</v>
      </c>
      <c r="H11" s="75">
        <f>COUNTIF(Schedule!J$3:J$20,"=8")</f>
        <v>1</v>
      </c>
      <c r="I11" s="75">
        <f>COUNTIF(Schedule!K$3:K$20,"=8")</f>
        <v>1</v>
      </c>
      <c r="J11" s="75">
        <f>COUNTIF(Schedule!L$3:L$20,"=8")</f>
        <v>1</v>
      </c>
      <c r="K11" s="75">
        <f>COUNTIF(Schedule!M$3:M$20,"=8")</f>
        <v>1</v>
      </c>
      <c r="L11" s="75">
        <f>COUNTIF(Schedule!N$3:N$20,"=8")</f>
        <v>1</v>
      </c>
      <c r="M11" s="75">
        <f>COUNTIF(Schedule!O$3:O$20,"=8")</f>
        <v>1</v>
      </c>
      <c r="N11" s="75">
        <f>COUNTIF(Schedule!P$3:P$20,"=8")</f>
        <v>1</v>
      </c>
      <c r="O11" s="75">
        <f>COUNTIF(Schedule!Q$3:Q$20,"=8")</f>
        <v>1</v>
      </c>
      <c r="P11" s="75">
        <f>COUNTIF(Schedule!R$3:R$20,"=8")</f>
        <v>1</v>
      </c>
      <c r="Q11" s="75">
        <f>COUNTIF(Schedule!S$3:S$20,"=8")</f>
        <v>1</v>
      </c>
      <c r="R11" s="75">
        <f>COUNTIF(Schedule!T$3:T$20,"=8")</f>
        <v>1</v>
      </c>
      <c r="S11" s="75">
        <f>COUNTIF(Schedule!U$3:U$20,"=8")</f>
        <v>1</v>
      </c>
      <c r="T11" s="75">
        <f>COUNTIF(Schedule!V$3:V$20,"=8")</f>
        <v>1</v>
      </c>
      <c r="U11" s="75">
        <f>COUNTIF(Schedule!W$3:W$20,"=8")</f>
        <v>1</v>
      </c>
      <c r="V11" s="75">
        <f>COUNTIF(Schedule!X$3:X$20,"=8")</f>
        <v>1</v>
      </c>
      <c r="W11" s="75">
        <f>COUNTIF(Schedule!Y$3:Y$20,"=8")</f>
        <v>1</v>
      </c>
      <c r="X11" s="75">
        <f>COUNTIF(Schedule!Z$3:Z$20,"=8")</f>
        <v>1</v>
      </c>
      <c r="Y11" s="75">
        <f>COUNTIF(Schedule!AA$3:AA$20,"=8")</f>
        <v>1</v>
      </c>
      <c r="Z11" s="75">
        <f>COUNTIF(Schedule!AB$3:AB$20,"=8")</f>
        <v>1</v>
      </c>
      <c r="AA11" s="75">
        <f>COUNTIF(Schedule!AC$3:AC$20,"=8")</f>
        <v>1</v>
      </c>
      <c r="AB11" s="75">
        <f>COUNTIF(Schedule!AD$3:AD$20,"=8")</f>
        <v>1</v>
      </c>
      <c r="AC11" s="75">
        <f>COUNTIF(Schedule!AE$3:AE$20,"=8")</f>
        <v>1</v>
      </c>
      <c r="AD11" s="75">
        <f>COUNTIF(Schedule!AF$3:AF$20,"=8")</f>
        <v>1</v>
      </c>
      <c r="AE11" s="75">
        <f>COUNTIF(Schedule!AG$3:AG$20,"=8")</f>
        <v>1</v>
      </c>
      <c r="AF11" s="75">
        <f>COUNTIF(Schedule!AH$3:AH$20,"=8")</f>
        <v>1</v>
      </c>
      <c r="AG11" s="75">
        <f>COUNTIF(Schedule!AI$3:AI$20,"=8")</f>
        <v>1</v>
      </c>
      <c r="AH11" s="75">
        <f>COUNTIF(Schedule!AJ$3:AJ$20,"=8")</f>
        <v>1</v>
      </c>
      <c r="AI11" s="75">
        <f>COUNTIF(Schedule!AK$3:AK$20,"=8")</f>
        <v>1</v>
      </c>
      <c r="AJ11" s="75">
        <f>COUNTIF(Schedule!AL$3:AL$20,"=8")</f>
        <v>1</v>
      </c>
      <c r="AK11" s="57">
        <f t="shared" si="0"/>
        <v>8</v>
      </c>
    </row>
    <row r="12" spans="1:37" ht="18" customHeight="1" thickBot="1" x14ac:dyDescent="0.3">
      <c r="A12" s="59">
        <f>Schedule!AP12</f>
        <v>9</v>
      </c>
      <c r="B12" s="60" t="str">
        <f>Schedule!AQ12</f>
        <v>Stop 14(2)</v>
      </c>
      <c r="C12" s="75">
        <f>COUNTIF(Schedule!E$3:E$20,"=9")</f>
        <v>1</v>
      </c>
      <c r="D12" s="75">
        <f>COUNTIF(Schedule!F$3:F$20,"=9")</f>
        <v>1</v>
      </c>
      <c r="E12" s="75">
        <f>COUNTIF(Schedule!G$3:G$20,"=9")</f>
        <v>1</v>
      </c>
      <c r="F12" s="75">
        <f>COUNTIF(Schedule!H$3:H$20,"=9")</f>
        <v>1</v>
      </c>
      <c r="G12" s="75">
        <f>COUNTIF(Schedule!I$3:I$20,"=9")</f>
        <v>1</v>
      </c>
      <c r="H12" s="75">
        <f>COUNTIF(Schedule!J$3:J$20,"=9")</f>
        <v>1</v>
      </c>
      <c r="I12" s="75">
        <f>COUNTIF(Schedule!K$3:K$20,"=9")</f>
        <v>1</v>
      </c>
      <c r="J12" s="75">
        <f>COUNTIF(Schedule!L$3:L$20,"=9")</f>
        <v>1</v>
      </c>
      <c r="K12" s="75">
        <f>COUNTIF(Schedule!M$3:M$20,"=9")</f>
        <v>1</v>
      </c>
      <c r="L12" s="75">
        <f>COUNTIF(Schedule!N$3:N$20,"=9")</f>
        <v>1</v>
      </c>
      <c r="M12" s="75">
        <f>COUNTIF(Schedule!O$3:O$20,"=9")</f>
        <v>1</v>
      </c>
      <c r="N12" s="75">
        <f>COUNTIF(Schedule!P$3:P$20,"=9")</f>
        <v>1</v>
      </c>
      <c r="O12" s="75">
        <f>COUNTIF(Schedule!Q$3:Q$20,"=9")</f>
        <v>1</v>
      </c>
      <c r="P12" s="75">
        <f>COUNTIF(Schedule!R$3:R$20,"=9")</f>
        <v>1</v>
      </c>
      <c r="Q12" s="75">
        <f>COUNTIF(Schedule!S$3:S$20,"=9")</f>
        <v>1</v>
      </c>
      <c r="R12" s="75">
        <f>COUNTIF(Schedule!T$3:T$20,"=9")</f>
        <v>1</v>
      </c>
      <c r="S12" s="75">
        <f>COUNTIF(Schedule!U$3:U$20,"=9")</f>
        <v>1</v>
      </c>
      <c r="T12" s="75">
        <f>COUNTIF(Schedule!V$3:V$20,"=9")</f>
        <v>1</v>
      </c>
      <c r="U12" s="75">
        <f>COUNTIF(Schedule!W$3:W$20,"=9")</f>
        <v>1</v>
      </c>
      <c r="V12" s="75">
        <f>COUNTIF(Schedule!X$3:X$20,"=9")</f>
        <v>1</v>
      </c>
      <c r="W12" s="75">
        <f>COUNTIF(Schedule!Y$3:Y$20,"=9")</f>
        <v>1</v>
      </c>
      <c r="X12" s="75">
        <f>COUNTIF(Schedule!Z$3:Z$20,"=9")</f>
        <v>1</v>
      </c>
      <c r="Y12" s="75">
        <f>COUNTIF(Schedule!AA$3:AA$20,"=9")</f>
        <v>1</v>
      </c>
      <c r="Z12" s="75">
        <f>COUNTIF(Schedule!AB$3:AB$20,"=9")</f>
        <v>1</v>
      </c>
      <c r="AA12" s="75">
        <f>COUNTIF(Schedule!AC$3:AC$20,"=9")</f>
        <v>1</v>
      </c>
      <c r="AB12" s="75">
        <f>COUNTIF(Schedule!AD$3:AD$20,"=9")</f>
        <v>1</v>
      </c>
      <c r="AC12" s="75">
        <f>COUNTIF(Schedule!AE$3:AE$20,"=9")</f>
        <v>1</v>
      </c>
      <c r="AD12" s="75">
        <f>COUNTIF(Schedule!AF$3:AF$20,"=9")</f>
        <v>1</v>
      </c>
      <c r="AE12" s="75">
        <f>COUNTIF(Schedule!AG$3:AG$20,"=9")</f>
        <v>1</v>
      </c>
      <c r="AF12" s="75">
        <f>COUNTIF(Schedule!AH$3:AH$20,"=9")</f>
        <v>1</v>
      </c>
      <c r="AG12" s="75">
        <f>COUNTIF(Schedule!AI$3:AI$20,"=9")</f>
        <v>1</v>
      </c>
      <c r="AH12" s="75">
        <f>COUNTIF(Schedule!AJ$3:AJ$20,"=9")</f>
        <v>1</v>
      </c>
      <c r="AI12" s="75">
        <f>COUNTIF(Schedule!AK$3:AK$20,"=9")</f>
        <v>1</v>
      </c>
      <c r="AJ12" s="75">
        <f>COUNTIF(Schedule!AL$3:AL$20,"=9")</f>
        <v>1</v>
      </c>
      <c r="AK12" s="57">
        <f t="shared" si="0"/>
        <v>9</v>
      </c>
    </row>
    <row r="13" spans="1:37" ht="18" customHeight="1" thickBot="1" x14ac:dyDescent="0.3">
      <c r="A13" s="59">
        <f>Schedule!AP13</f>
        <v>10</v>
      </c>
      <c r="B13" s="60" t="str">
        <f>Schedule!AQ13</f>
        <v>Stop 14(2)</v>
      </c>
      <c r="C13" s="75">
        <f>COUNTIF(Schedule!E$3:E$20,"=10")</f>
        <v>1</v>
      </c>
      <c r="D13" s="75">
        <f>COUNTIF(Schedule!F$3:F$20,"=10")</f>
        <v>1</v>
      </c>
      <c r="E13" s="75">
        <f>COUNTIF(Schedule!G$3:G$20,"=10")</f>
        <v>1</v>
      </c>
      <c r="F13" s="75">
        <f>COUNTIF(Schedule!H$3:H$20,"=10")</f>
        <v>1</v>
      </c>
      <c r="G13" s="75">
        <f>COUNTIF(Schedule!I$3:I$20,"=10")</f>
        <v>1</v>
      </c>
      <c r="H13" s="75">
        <f>COUNTIF(Schedule!J$3:J$20,"=10")</f>
        <v>1</v>
      </c>
      <c r="I13" s="75">
        <f>COUNTIF(Schedule!K$3:K$20,"=10")</f>
        <v>1</v>
      </c>
      <c r="J13" s="75">
        <f>COUNTIF(Schedule!L$3:L$20,"=10")</f>
        <v>1</v>
      </c>
      <c r="K13" s="75">
        <f>COUNTIF(Schedule!M$3:M$20,"=10")</f>
        <v>1</v>
      </c>
      <c r="L13" s="75">
        <f>COUNTIF(Schedule!N$3:N$20,"=10")</f>
        <v>1</v>
      </c>
      <c r="M13" s="75">
        <f>COUNTIF(Schedule!O$3:O$20,"=10")</f>
        <v>1</v>
      </c>
      <c r="N13" s="75">
        <f>COUNTIF(Schedule!P$3:P$20,"=10")</f>
        <v>1</v>
      </c>
      <c r="O13" s="75">
        <f>COUNTIF(Schedule!Q$3:Q$20,"=10")</f>
        <v>1</v>
      </c>
      <c r="P13" s="75">
        <f>COUNTIF(Schedule!R$3:R$20,"=10")</f>
        <v>1</v>
      </c>
      <c r="Q13" s="75">
        <f>COUNTIF(Schedule!S$3:S$20,"=10")</f>
        <v>1</v>
      </c>
      <c r="R13" s="75">
        <f>COUNTIF(Schedule!T$3:T$20,"=10")</f>
        <v>1</v>
      </c>
      <c r="S13" s="75">
        <f>COUNTIF(Schedule!U$3:U$20,"=10")</f>
        <v>1</v>
      </c>
      <c r="T13" s="75">
        <f>COUNTIF(Schedule!V$3:V$20,"=10")</f>
        <v>1</v>
      </c>
      <c r="U13" s="75">
        <f>COUNTIF(Schedule!W$3:W$20,"=10")</f>
        <v>1</v>
      </c>
      <c r="V13" s="75">
        <f>COUNTIF(Schedule!X$3:X$20,"=10")</f>
        <v>1</v>
      </c>
      <c r="W13" s="75">
        <f>COUNTIF(Schedule!Y$3:Y$20,"=10")</f>
        <v>1</v>
      </c>
      <c r="X13" s="75">
        <f>COUNTIF(Schedule!Z$3:Z$20,"=10")</f>
        <v>1</v>
      </c>
      <c r="Y13" s="75">
        <f>COUNTIF(Schedule!AA$3:AA$20,"=10")</f>
        <v>1</v>
      </c>
      <c r="Z13" s="75">
        <f>COUNTIF(Schedule!AB$3:AB$20,"=10")</f>
        <v>1</v>
      </c>
      <c r="AA13" s="75">
        <f>COUNTIF(Schedule!AC$3:AC$20,"=10")</f>
        <v>1</v>
      </c>
      <c r="AB13" s="75">
        <f>COUNTIF(Schedule!AD$3:AD$20,"=10")</f>
        <v>1</v>
      </c>
      <c r="AC13" s="75">
        <f>COUNTIF(Schedule!AE$3:AE$20,"=10")</f>
        <v>1</v>
      </c>
      <c r="AD13" s="75">
        <f>COUNTIF(Schedule!AF$3:AF$20,"=10")</f>
        <v>1</v>
      </c>
      <c r="AE13" s="75">
        <f>COUNTIF(Schedule!AG$3:AG$20,"=10")</f>
        <v>1</v>
      </c>
      <c r="AF13" s="75">
        <f>COUNTIF(Schedule!AH$3:AH$20,"=10")</f>
        <v>1</v>
      </c>
      <c r="AG13" s="75">
        <f>COUNTIF(Schedule!AI$3:AI$20,"=10")</f>
        <v>1</v>
      </c>
      <c r="AH13" s="75">
        <f>COUNTIF(Schedule!AJ$3:AJ$20,"=10")</f>
        <v>1</v>
      </c>
      <c r="AI13" s="75">
        <f>COUNTIF(Schedule!AK$3:AK$20,"=10")</f>
        <v>1</v>
      </c>
      <c r="AJ13" s="75">
        <f>COUNTIF(Schedule!AL$3:AL$20,"=10")</f>
        <v>1</v>
      </c>
      <c r="AK13" s="57">
        <f t="shared" si="0"/>
        <v>10</v>
      </c>
    </row>
    <row r="14" spans="1:37" ht="18" customHeight="1" thickBot="1" x14ac:dyDescent="0.3">
      <c r="A14" s="59">
        <f>Schedule!AP14</f>
        <v>11</v>
      </c>
      <c r="B14" s="60" t="str">
        <f>Schedule!AQ14</f>
        <v>HINC</v>
      </c>
      <c r="C14" s="75">
        <f>COUNTIF(Schedule!E$3:E$20,"=11")</f>
        <v>0</v>
      </c>
      <c r="D14" s="75">
        <f>COUNTIF(Schedule!F$3:F$20,"=11")</f>
        <v>0</v>
      </c>
      <c r="E14" s="75">
        <f>COUNTIF(Schedule!G$3:G$20,"=11")</f>
        <v>0</v>
      </c>
      <c r="F14" s="75">
        <f>COUNTIF(Schedule!H$3:H$20,"=11")</f>
        <v>0</v>
      </c>
      <c r="G14" s="75">
        <f>COUNTIF(Schedule!I$3:I$20,"=11")</f>
        <v>0</v>
      </c>
      <c r="H14" s="75">
        <f>COUNTIF(Schedule!J$3:J$20,"=11")</f>
        <v>0</v>
      </c>
      <c r="I14" s="75">
        <f>COUNTIF(Schedule!K$3:K$20,"=11")</f>
        <v>0</v>
      </c>
      <c r="J14" s="75">
        <f>COUNTIF(Schedule!L$3:L$20,"=11")</f>
        <v>0</v>
      </c>
      <c r="K14" s="75">
        <f>COUNTIF(Schedule!M$3:M$20,"=11")</f>
        <v>0</v>
      </c>
      <c r="L14" s="75">
        <f>COUNTIF(Schedule!N$3:N$20,"=11")</f>
        <v>0</v>
      </c>
      <c r="M14" s="75">
        <f>COUNTIF(Schedule!O$3:O$20,"=11")</f>
        <v>0</v>
      </c>
      <c r="N14" s="75">
        <f>COUNTIF(Schedule!P$3:P$20,"=11")</f>
        <v>0</v>
      </c>
      <c r="O14" s="75">
        <f>COUNTIF(Schedule!Q$3:Q$20,"=11")</f>
        <v>0</v>
      </c>
      <c r="P14" s="75">
        <f>COUNTIF(Schedule!R$3:R$20,"=11")</f>
        <v>0</v>
      </c>
      <c r="Q14" s="75">
        <f>COUNTIF(Schedule!S$3:S$20,"=11")</f>
        <v>0</v>
      </c>
      <c r="R14" s="75">
        <f>COUNTIF(Schedule!T$3:T$20,"=11")</f>
        <v>0</v>
      </c>
      <c r="S14" s="75">
        <f>COUNTIF(Schedule!U$3:U$20,"=11")</f>
        <v>0</v>
      </c>
      <c r="T14" s="75">
        <f>COUNTIF(Schedule!V$3:V$20,"=11")</f>
        <v>0</v>
      </c>
      <c r="U14" s="75">
        <f>COUNTIF(Schedule!W$3:W$20,"=11")</f>
        <v>0</v>
      </c>
      <c r="V14" s="75">
        <f>COUNTIF(Schedule!X$3:X$20,"=11")</f>
        <v>0</v>
      </c>
      <c r="W14" s="75">
        <f>COUNTIF(Schedule!Y$3:Y$20,"=11")</f>
        <v>0</v>
      </c>
      <c r="X14" s="75">
        <f>COUNTIF(Schedule!Z$3:Z$20,"=11")</f>
        <v>0</v>
      </c>
      <c r="Y14" s="75">
        <f>COUNTIF(Schedule!AA$3:AA$20,"=11")</f>
        <v>0</v>
      </c>
      <c r="Z14" s="75">
        <f>COUNTIF(Schedule!AB$3:AB$20,"=11")</f>
        <v>0</v>
      </c>
      <c r="AA14" s="75">
        <f>COUNTIF(Schedule!AC$3:AC$20,"=11")</f>
        <v>0</v>
      </c>
      <c r="AB14" s="75">
        <f>COUNTIF(Schedule!AD$3:AD$20,"=11")</f>
        <v>0</v>
      </c>
      <c r="AC14" s="75">
        <f>COUNTIF(Schedule!AE$3:AE$20,"=11")</f>
        <v>0</v>
      </c>
      <c r="AD14" s="75">
        <f>COUNTIF(Schedule!AF$3:AF$20,"=11")</f>
        <v>0</v>
      </c>
      <c r="AE14" s="75">
        <f>COUNTIF(Schedule!AG$3:AG$20,"=11")</f>
        <v>0</v>
      </c>
      <c r="AF14" s="75">
        <f>COUNTIF(Schedule!AH$3:AH$20,"=11")</f>
        <v>0</v>
      </c>
      <c r="AG14" s="75">
        <f>COUNTIF(Schedule!AI$3:AI$20,"=11")</f>
        <v>0</v>
      </c>
      <c r="AH14" s="75">
        <f>COUNTIF(Schedule!AJ$3:AJ$20,"=11")</f>
        <v>0</v>
      </c>
      <c r="AI14" s="75">
        <f>COUNTIF(Schedule!AK$3:AK$20,"=11")</f>
        <v>0</v>
      </c>
      <c r="AJ14" s="75">
        <f>COUNTIF(Schedule!AL$3:AL$20,"=11")</f>
        <v>0</v>
      </c>
      <c r="AK14" s="57">
        <f t="shared" si="0"/>
        <v>11</v>
      </c>
    </row>
    <row r="15" spans="1:37" ht="18" customHeight="1" thickBot="1" x14ac:dyDescent="0.3">
      <c r="A15" s="59">
        <f>Schedule!AP15</f>
        <v>12</v>
      </c>
      <c r="B15" s="60" t="str">
        <f>Schedule!AQ15</f>
        <v>ORIENTATION</v>
      </c>
      <c r="C15" s="75">
        <f>COUNTIF(Schedule!E$3:E$20,"=12")</f>
        <v>0</v>
      </c>
      <c r="D15" s="75">
        <f>COUNTIF(Schedule!F$3:F$20,"=12")</f>
        <v>0</v>
      </c>
      <c r="E15" s="75">
        <f>COUNTIF(Schedule!G$3:G$20,"=12")</f>
        <v>0</v>
      </c>
      <c r="F15" s="75">
        <f>COUNTIF(Schedule!H$3:H$20,"=12")</f>
        <v>0</v>
      </c>
      <c r="G15" s="75">
        <f>COUNTIF(Schedule!I$3:I$20,"=12")</f>
        <v>0</v>
      </c>
      <c r="H15" s="75">
        <f>COUNTIF(Schedule!J$3:J$20,"=12")</f>
        <v>0</v>
      </c>
      <c r="I15" s="75">
        <f>COUNTIF(Schedule!K$3:K$20,"=12")</f>
        <v>0</v>
      </c>
      <c r="J15" s="75">
        <f>COUNTIF(Schedule!L$3:L$20,"=12")</f>
        <v>0</v>
      </c>
      <c r="K15" s="75">
        <f>COUNTIF(Schedule!M$3:M$20,"=12")</f>
        <v>0</v>
      </c>
      <c r="L15" s="75">
        <f>COUNTIF(Schedule!N$3:N$20,"=12")</f>
        <v>0</v>
      </c>
      <c r="M15" s="75">
        <f>COUNTIF(Schedule!O$3:O$20,"=12")</f>
        <v>0</v>
      </c>
      <c r="N15" s="75">
        <f>COUNTIF(Schedule!P$3:P$20,"=12")</f>
        <v>0</v>
      </c>
      <c r="O15" s="75">
        <f>COUNTIF(Schedule!Q$3:Q$20,"=12")</f>
        <v>0</v>
      </c>
      <c r="P15" s="75">
        <f>COUNTIF(Schedule!R$3:R$20,"=12")</f>
        <v>0</v>
      </c>
      <c r="Q15" s="75">
        <f>COUNTIF(Schedule!S$3:S$20,"=12")</f>
        <v>0</v>
      </c>
      <c r="R15" s="75">
        <f>COUNTIF(Schedule!T$3:T$20,"=12")</f>
        <v>0</v>
      </c>
      <c r="S15" s="75">
        <f>COUNTIF(Schedule!U$3:U$20,"=12")</f>
        <v>0</v>
      </c>
      <c r="T15" s="75">
        <f>COUNTIF(Schedule!V$3:V$20,"=12")</f>
        <v>0</v>
      </c>
      <c r="U15" s="75">
        <f>COUNTIF(Schedule!W$3:W$20,"=12")</f>
        <v>0</v>
      </c>
      <c r="V15" s="75">
        <f>COUNTIF(Schedule!X$3:X$20,"=12")</f>
        <v>0</v>
      </c>
      <c r="W15" s="75">
        <f>COUNTIF(Schedule!Y$3:Y$20,"=12")</f>
        <v>0</v>
      </c>
      <c r="X15" s="75">
        <f>COUNTIF(Schedule!Z$3:Z$20,"=12")</f>
        <v>0</v>
      </c>
      <c r="Y15" s="75">
        <f>COUNTIF(Schedule!AA$3:AA$20,"=12")</f>
        <v>0</v>
      </c>
      <c r="Z15" s="75">
        <f>COUNTIF(Schedule!AB$3:AB$20,"=12")</f>
        <v>0</v>
      </c>
      <c r="AA15" s="75">
        <f>COUNTIF(Schedule!AC$3:AC$20,"=12")</f>
        <v>0</v>
      </c>
      <c r="AB15" s="75">
        <f>COUNTIF(Schedule!AD$3:AD$20,"=12")</f>
        <v>0</v>
      </c>
      <c r="AC15" s="75">
        <f>COUNTIF(Schedule!AE$3:AE$20,"=12")</f>
        <v>0</v>
      </c>
      <c r="AD15" s="75">
        <f>COUNTIF(Schedule!AF$3:AF$20,"=12")</f>
        <v>0</v>
      </c>
      <c r="AE15" s="75">
        <f>COUNTIF(Schedule!AG$3:AG$20,"=12")</f>
        <v>0</v>
      </c>
      <c r="AF15" s="75">
        <f>COUNTIF(Schedule!AH$3:AH$20,"=12")</f>
        <v>0</v>
      </c>
      <c r="AG15" s="75">
        <f>COUNTIF(Schedule!AI$3:AI$20,"=12")</f>
        <v>0</v>
      </c>
      <c r="AH15" s="75">
        <f>COUNTIF(Schedule!AJ$3:AJ$20,"=12")</f>
        <v>0</v>
      </c>
      <c r="AI15" s="75">
        <f>COUNTIF(Schedule!AK$3:AK$20,"=12")</f>
        <v>0</v>
      </c>
      <c r="AJ15" s="75">
        <f>COUNTIF(Schedule!AL$3:AL$20,"=12")</f>
        <v>0</v>
      </c>
      <c r="AK15" s="57">
        <f t="shared" si="0"/>
        <v>12</v>
      </c>
    </row>
    <row r="16" spans="1:37" ht="18" customHeight="1" thickBot="1" x14ac:dyDescent="0.3">
      <c r="A16" s="59">
        <f>Schedule!AP16</f>
        <v>13</v>
      </c>
      <c r="B16" s="60" t="str">
        <f>Schedule!AQ16</f>
        <v>Office Support</v>
      </c>
      <c r="C16" s="75">
        <f>COUNTIF(Schedule!E$3:E$20,"=13")</f>
        <v>0</v>
      </c>
      <c r="D16" s="75">
        <f>COUNTIF(Schedule!F$3:F$20,"=13")</f>
        <v>0</v>
      </c>
      <c r="E16" s="75">
        <f>COUNTIF(Schedule!G$3:G$20,"=13")</f>
        <v>0</v>
      </c>
      <c r="F16" s="75">
        <f>COUNTIF(Schedule!H$3:H$20,"=13")</f>
        <v>0</v>
      </c>
      <c r="G16" s="75">
        <f>COUNTIF(Schedule!I$3:I$20,"=13")</f>
        <v>0</v>
      </c>
      <c r="H16" s="75">
        <f>COUNTIF(Schedule!J$3:J$20,"=13")</f>
        <v>0</v>
      </c>
      <c r="I16" s="75">
        <f>COUNTIF(Schedule!K$3:K$20,"=13")</f>
        <v>0</v>
      </c>
      <c r="J16" s="75">
        <f>COUNTIF(Schedule!L$3:L$20,"=13")</f>
        <v>0</v>
      </c>
      <c r="K16" s="75">
        <f>COUNTIF(Schedule!M$3:M$20,"=13")</f>
        <v>0</v>
      </c>
      <c r="L16" s="75">
        <f>COUNTIF(Schedule!N$3:N$20,"=13")</f>
        <v>0</v>
      </c>
      <c r="M16" s="75">
        <f>COUNTIF(Schedule!O$3:O$20,"=13")</f>
        <v>0</v>
      </c>
      <c r="N16" s="75">
        <f>COUNTIF(Schedule!P$3:P$20,"=13")</f>
        <v>0</v>
      </c>
      <c r="O16" s="75">
        <f>COUNTIF(Schedule!Q$3:Q$20,"=13")</f>
        <v>0</v>
      </c>
      <c r="P16" s="75">
        <f>COUNTIF(Schedule!R$3:R$20,"=13")</f>
        <v>0</v>
      </c>
      <c r="Q16" s="75">
        <f>COUNTIF(Schedule!S$3:S$20,"=13")</f>
        <v>0</v>
      </c>
      <c r="R16" s="75">
        <f>COUNTIF(Schedule!T$3:T$20,"=13")</f>
        <v>0</v>
      </c>
      <c r="S16" s="75">
        <f>COUNTIF(Schedule!U$3:U$20,"=13")</f>
        <v>0</v>
      </c>
      <c r="T16" s="75">
        <f>COUNTIF(Schedule!V$3:V$20,"=13")</f>
        <v>0</v>
      </c>
      <c r="U16" s="75">
        <f>COUNTIF(Schedule!W$3:W$20,"=13")</f>
        <v>0</v>
      </c>
      <c r="V16" s="75">
        <f>COUNTIF(Schedule!X$3:X$20,"=13")</f>
        <v>0</v>
      </c>
      <c r="W16" s="75">
        <f>COUNTIF(Schedule!Y$3:Y$20,"=13")</f>
        <v>0</v>
      </c>
      <c r="X16" s="75">
        <f>COUNTIF(Schedule!Z$3:Z$20,"=13")</f>
        <v>0</v>
      </c>
      <c r="Y16" s="75">
        <f>COUNTIF(Schedule!AA$3:AA$20,"=13")</f>
        <v>0</v>
      </c>
      <c r="Z16" s="75">
        <f>COUNTIF(Schedule!AB$3:AB$20,"=13")</f>
        <v>0</v>
      </c>
      <c r="AA16" s="75">
        <f>COUNTIF(Schedule!AC$3:AC$20,"=13")</f>
        <v>0</v>
      </c>
      <c r="AB16" s="75">
        <f>COUNTIF(Schedule!AD$3:AD$20,"=13")</f>
        <v>0</v>
      </c>
      <c r="AC16" s="75">
        <f>COUNTIF(Schedule!AE$3:AE$20,"=13")</f>
        <v>0</v>
      </c>
      <c r="AD16" s="75">
        <f>COUNTIF(Schedule!AF$3:AF$20,"=13")</f>
        <v>0</v>
      </c>
      <c r="AE16" s="75">
        <f>COUNTIF(Schedule!AG$3:AG$20,"=13")</f>
        <v>0</v>
      </c>
      <c r="AF16" s="75">
        <f>COUNTIF(Schedule!AH$3:AH$20,"=13")</f>
        <v>0</v>
      </c>
      <c r="AG16" s="75">
        <f>COUNTIF(Schedule!AI$3:AI$20,"=13")</f>
        <v>0</v>
      </c>
      <c r="AH16" s="75">
        <f>COUNTIF(Schedule!AJ$3:AJ$20,"=13")</f>
        <v>0</v>
      </c>
      <c r="AI16" s="75">
        <f>COUNTIF(Schedule!AK$3:AK$20,"=13")</f>
        <v>0</v>
      </c>
      <c r="AJ16" s="75">
        <f>COUNTIF(Schedule!AL$3:AL$20,"=13")</f>
        <v>0</v>
      </c>
      <c r="AK16" s="57">
        <f t="shared" si="0"/>
        <v>13</v>
      </c>
    </row>
    <row r="17" spans="1:37" s="73" customFormat="1" ht="18" customHeight="1" thickBot="1" x14ac:dyDescent="0.3">
      <c r="A17" s="59">
        <f>Schedule!AP17</f>
        <v>14</v>
      </c>
      <c r="B17" s="60" t="str">
        <f>Schedule!AQ17</f>
        <v>Training</v>
      </c>
      <c r="C17" s="75">
        <f>COUNTIF(Schedule!E$3:E$20,"=14")</f>
        <v>0</v>
      </c>
      <c r="D17" s="75">
        <f>COUNTIF(Schedule!F$3:F$20,"=14")</f>
        <v>0</v>
      </c>
      <c r="E17" s="75">
        <f>COUNTIF(Schedule!G$3:G$20,"=14")</f>
        <v>0</v>
      </c>
      <c r="F17" s="75">
        <f>COUNTIF(Schedule!H$3:H$20,"=14")</f>
        <v>0</v>
      </c>
      <c r="G17" s="75">
        <f>COUNTIF(Schedule!I$3:I$20,"=14")</f>
        <v>0</v>
      </c>
      <c r="H17" s="75">
        <f>COUNTIF(Schedule!J$3:J$20,"=14")</f>
        <v>0</v>
      </c>
      <c r="I17" s="75">
        <f>COUNTIF(Schedule!K$3:K$20,"=14")</f>
        <v>0</v>
      </c>
      <c r="J17" s="75">
        <f>COUNTIF(Schedule!L$3:L$20,"=14")</f>
        <v>0</v>
      </c>
      <c r="K17" s="75">
        <f>COUNTIF(Schedule!M$3:M$20,"=14")</f>
        <v>0</v>
      </c>
      <c r="L17" s="75">
        <f>COUNTIF(Schedule!N$3:N$20,"=14")</f>
        <v>0</v>
      </c>
      <c r="M17" s="75">
        <f>COUNTIF(Schedule!O$3:O$20,"=14")</f>
        <v>0</v>
      </c>
      <c r="N17" s="75">
        <f>COUNTIF(Schedule!P$3:P$20,"=14")</f>
        <v>0</v>
      </c>
      <c r="O17" s="75">
        <f>COUNTIF(Schedule!Q$3:Q$20,"=14")</f>
        <v>0</v>
      </c>
      <c r="P17" s="75">
        <f>COUNTIF(Schedule!R$3:R$20,"=14")</f>
        <v>0</v>
      </c>
      <c r="Q17" s="75">
        <f>COUNTIF(Schedule!S$3:S$20,"=14")</f>
        <v>0</v>
      </c>
      <c r="R17" s="75">
        <f>COUNTIF(Schedule!T$3:T$20,"=14")</f>
        <v>0</v>
      </c>
      <c r="S17" s="75">
        <f>COUNTIF(Schedule!U$3:U$20,"=14")</f>
        <v>0</v>
      </c>
      <c r="T17" s="75">
        <f>COUNTIF(Schedule!V$3:V$20,"=14")</f>
        <v>0</v>
      </c>
      <c r="U17" s="75">
        <f>COUNTIF(Schedule!W$3:W$20,"=14")</f>
        <v>0</v>
      </c>
      <c r="V17" s="75">
        <f>COUNTIF(Schedule!X$3:X$20,"=14")</f>
        <v>0</v>
      </c>
      <c r="W17" s="75">
        <f>COUNTIF(Schedule!Y$3:Y$20,"=14")</f>
        <v>0</v>
      </c>
      <c r="X17" s="75">
        <f>COUNTIF(Schedule!Z$3:Z$20,"=14")</f>
        <v>0</v>
      </c>
      <c r="Y17" s="75">
        <f>COUNTIF(Schedule!AA$3:AA$20,"=14")</f>
        <v>0</v>
      </c>
      <c r="Z17" s="75">
        <f>COUNTIF(Schedule!AB$3:AB$20,"=14")</f>
        <v>0</v>
      </c>
      <c r="AA17" s="75">
        <f>COUNTIF(Schedule!AC$3:AC$20,"=14")</f>
        <v>0</v>
      </c>
      <c r="AB17" s="75">
        <f>COUNTIF(Schedule!AD$3:AD$20,"=14")</f>
        <v>0</v>
      </c>
      <c r="AC17" s="75">
        <f>COUNTIF(Schedule!AE$3:AE$20,"=14")</f>
        <v>0</v>
      </c>
      <c r="AD17" s="75">
        <f>COUNTIF(Schedule!AF$3:AF$20,"=14")</f>
        <v>0</v>
      </c>
      <c r="AE17" s="75">
        <f>COUNTIF(Schedule!AG$3:AG$20,"=14")</f>
        <v>0</v>
      </c>
      <c r="AF17" s="75">
        <f>COUNTIF(Schedule!AH$3:AH$20,"=14")</f>
        <v>0</v>
      </c>
      <c r="AG17" s="75">
        <f>COUNTIF(Schedule!AI$3:AI$20,"=14")</f>
        <v>0</v>
      </c>
      <c r="AH17" s="75">
        <f>COUNTIF(Schedule!AJ$3:AJ$20,"=14")</f>
        <v>0</v>
      </c>
      <c r="AI17" s="75">
        <f>COUNTIF(Schedule!AK$3:AK$20,"=14")</f>
        <v>0</v>
      </c>
      <c r="AJ17" s="75">
        <f>COUNTIF(Schedule!AL$3:AL$20,"=14")</f>
        <v>0</v>
      </c>
      <c r="AK17" s="57">
        <f t="shared" si="0"/>
        <v>14</v>
      </c>
    </row>
    <row r="18" spans="1:37" s="73" customFormat="1" ht="18" customHeight="1" x14ac:dyDescent="0.25">
      <c r="A18" s="59">
        <f>Schedule!AP18</f>
        <v>15</v>
      </c>
      <c r="B18" s="60" t="str">
        <f>Schedule!AQ18</f>
        <v>Move In/Out</v>
      </c>
      <c r="C18" s="75">
        <f>COUNTIF(Schedule!E$3:E$20,"=15")</f>
        <v>0</v>
      </c>
      <c r="D18" s="75">
        <f>COUNTIF(Schedule!F$3:F$20,"=15")</f>
        <v>0</v>
      </c>
      <c r="E18" s="75">
        <f>COUNTIF(Schedule!G$3:G$20,"=15")</f>
        <v>0</v>
      </c>
      <c r="F18" s="75">
        <f>COUNTIF(Schedule!H$3:H$20,"=15")</f>
        <v>0</v>
      </c>
      <c r="G18" s="75">
        <f>COUNTIF(Schedule!I$3:I$20,"=15")</f>
        <v>0</v>
      </c>
      <c r="H18" s="75">
        <f>COUNTIF(Schedule!J$3:J$20,"=15")</f>
        <v>0</v>
      </c>
      <c r="I18" s="75">
        <f>COUNTIF(Schedule!K$3:K$20,"=15")</f>
        <v>0</v>
      </c>
      <c r="J18" s="75">
        <f>COUNTIF(Schedule!L$3:L$20,"=15")</f>
        <v>0</v>
      </c>
      <c r="K18" s="75">
        <f>COUNTIF(Schedule!M$3:M$20,"=15")</f>
        <v>0</v>
      </c>
      <c r="L18" s="75">
        <f>COUNTIF(Schedule!N$3:N$20,"=15")</f>
        <v>0</v>
      </c>
      <c r="M18" s="75">
        <f>COUNTIF(Schedule!O$3:O$20,"=15")</f>
        <v>0</v>
      </c>
      <c r="N18" s="75">
        <f>COUNTIF(Schedule!P$3:P$20,"=15")</f>
        <v>0</v>
      </c>
      <c r="O18" s="75">
        <f>COUNTIF(Schedule!Q$3:Q$20,"=15")</f>
        <v>0</v>
      </c>
      <c r="P18" s="75">
        <f>COUNTIF(Schedule!R$3:R$20,"=15")</f>
        <v>0</v>
      </c>
      <c r="Q18" s="75">
        <f>COUNTIF(Schedule!S$3:S$20,"=15")</f>
        <v>0</v>
      </c>
      <c r="R18" s="75">
        <f>COUNTIF(Schedule!T$3:T$20,"=15")</f>
        <v>0</v>
      </c>
      <c r="S18" s="75">
        <f>COUNTIF(Schedule!U$3:U$20,"=15")</f>
        <v>0</v>
      </c>
      <c r="T18" s="75">
        <f>COUNTIF(Schedule!V$3:V$20,"=15")</f>
        <v>0</v>
      </c>
      <c r="U18" s="75">
        <f>COUNTIF(Schedule!W$3:W$20,"=15")</f>
        <v>0</v>
      </c>
      <c r="V18" s="75">
        <f>COUNTIF(Schedule!X$3:X$20,"=15")</f>
        <v>0</v>
      </c>
      <c r="W18" s="75">
        <f>COUNTIF(Schedule!Y$3:Y$20,"=15")</f>
        <v>0</v>
      </c>
      <c r="X18" s="75">
        <f>COUNTIF(Schedule!Z$3:Z$20,"=15")</f>
        <v>0</v>
      </c>
      <c r="Y18" s="75">
        <f>COUNTIF(Schedule!AA$3:AA$20,"=15")</f>
        <v>0</v>
      </c>
      <c r="Z18" s="75">
        <f>COUNTIF(Schedule!AB$3:AB$20,"=15")</f>
        <v>0</v>
      </c>
      <c r="AA18" s="75">
        <f>COUNTIF(Schedule!AC$3:AC$20,"=15")</f>
        <v>0</v>
      </c>
      <c r="AB18" s="75">
        <f>COUNTIF(Schedule!AD$3:AD$20,"=15")</f>
        <v>0</v>
      </c>
      <c r="AC18" s="75">
        <f>COUNTIF(Schedule!AE$3:AE$20,"=15")</f>
        <v>0</v>
      </c>
      <c r="AD18" s="75">
        <f>COUNTIF(Schedule!AF$3:AF$20,"=15")</f>
        <v>0</v>
      </c>
      <c r="AE18" s="75">
        <f>COUNTIF(Schedule!AG$3:AG$20,"=15")</f>
        <v>0</v>
      </c>
      <c r="AF18" s="75">
        <f>COUNTIF(Schedule!AH$3:AH$20,"=15")</f>
        <v>0</v>
      </c>
      <c r="AG18" s="75">
        <f>COUNTIF(Schedule!AI$3:AI$20,"=15")</f>
        <v>0</v>
      </c>
      <c r="AH18" s="75">
        <f>COUNTIF(Schedule!AJ$3:AJ$20,"=15")</f>
        <v>0</v>
      </c>
      <c r="AI18" s="75">
        <f>COUNTIF(Schedule!AK$3:AK$20,"=15")</f>
        <v>0</v>
      </c>
      <c r="AJ18" s="75">
        <f>COUNTIF(Schedule!AL$3:AL$20,"=15")</f>
        <v>0</v>
      </c>
      <c r="AK18" s="57">
        <f t="shared" si="0"/>
        <v>15</v>
      </c>
    </row>
  </sheetData>
  <phoneticPr fontId="23" type="noConversion"/>
  <conditionalFormatting sqref="C4:AJ18">
    <cfRule type="cellIs" dxfId="40" priority="1" operator="greaterThan">
      <formula>1</formula>
    </cfRule>
    <cfRule type="cellIs" dxfId="39" priority="2" operator="equal">
      <formula>1</formula>
    </cfRule>
    <cfRule type="cellIs" dxfId="38" priority="3" operator="equal">
      <formula>0</formula>
    </cfRule>
  </conditionalFormatting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pageSetUpPr fitToPage="1"/>
  </sheetPr>
  <dimension ref="A1:AN20"/>
  <sheetViews>
    <sheetView zoomScale="90" zoomScaleNormal="90" workbookViewId="0">
      <selection activeCell="A20" sqref="A20"/>
    </sheetView>
  </sheetViews>
  <sheetFormatPr baseColWidth="10" defaultColWidth="8.83203125" defaultRowHeight="14" x14ac:dyDescent="0.2"/>
  <cols>
    <col min="1" max="1" width="10.33203125" style="133" customWidth="1"/>
    <col min="2" max="2" width="13.5" style="133" customWidth="1"/>
    <col min="3" max="8" width="14.5" style="128" customWidth="1"/>
    <col min="9" max="10" width="14.5" style="133" customWidth="1"/>
    <col min="11" max="11" width="15.1640625" style="133" customWidth="1"/>
    <col min="12" max="36" width="14.5" style="133" customWidth="1"/>
    <col min="37" max="37" width="13.6640625" style="128" customWidth="1"/>
    <col min="38" max="38" width="15.33203125" style="128" customWidth="1"/>
    <col min="39" max="40" width="15.5" style="128" customWidth="1"/>
    <col min="41" max="16384" width="8.83203125" style="128"/>
  </cols>
  <sheetData>
    <row r="1" spans="1:40" ht="20" customHeight="1" x14ac:dyDescent="0.2">
      <c r="A1" s="126"/>
      <c r="B1" s="126"/>
      <c r="C1" s="127" t="str">
        <f>Schedule!E1</f>
        <v>Th</v>
      </c>
      <c r="D1" s="127" t="str">
        <f>Schedule!F1</f>
        <v>F</v>
      </c>
      <c r="E1" s="127" t="str">
        <f>Schedule!G1</f>
        <v>S</v>
      </c>
      <c r="F1" s="127" t="str">
        <f>Schedule!H1</f>
        <v>S</v>
      </c>
      <c r="G1" s="127" t="str">
        <f>Schedule!I1</f>
        <v>M</v>
      </c>
      <c r="H1" s="127" t="str">
        <f>Schedule!J1</f>
        <v>T</v>
      </c>
      <c r="I1" s="127" t="str">
        <f>Schedule!K1</f>
        <v>W</v>
      </c>
      <c r="J1" s="127" t="str">
        <f>Schedule!L1</f>
        <v>Th</v>
      </c>
      <c r="K1" s="127" t="str">
        <f>Schedule!M1</f>
        <v>F</v>
      </c>
      <c r="L1" s="127" t="str">
        <f>Schedule!N1</f>
        <v>S</v>
      </c>
      <c r="M1" s="127" t="str">
        <f>Schedule!O1</f>
        <v>S</v>
      </c>
      <c r="N1" s="127" t="str">
        <f>Schedule!P1</f>
        <v>M</v>
      </c>
      <c r="O1" s="127" t="str">
        <f>Schedule!Q1</f>
        <v>T</v>
      </c>
      <c r="P1" s="127" t="str">
        <f>Schedule!R1</f>
        <v>W</v>
      </c>
      <c r="Q1" s="127" t="str">
        <f>Schedule!S1</f>
        <v>Th</v>
      </c>
      <c r="R1" s="127" t="str">
        <f>Schedule!T1</f>
        <v>F</v>
      </c>
      <c r="S1" s="127" t="str">
        <f>Schedule!U1</f>
        <v>S</v>
      </c>
      <c r="T1" s="127" t="str">
        <f>Schedule!V1</f>
        <v>S</v>
      </c>
      <c r="U1" s="127" t="str">
        <f>Schedule!W1</f>
        <v>M</v>
      </c>
      <c r="V1" s="127" t="str">
        <f>Schedule!X1</f>
        <v>T</v>
      </c>
      <c r="W1" s="127" t="str">
        <f>Schedule!Y1</f>
        <v>W</v>
      </c>
      <c r="X1" s="127" t="str">
        <f>Schedule!Z1</f>
        <v>Th</v>
      </c>
      <c r="Y1" s="127" t="str">
        <f>Schedule!AA1</f>
        <v>F</v>
      </c>
      <c r="Z1" s="127" t="str">
        <f>Schedule!AB1</f>
        <v>S</v>
      </c>
      <c r="AA1" s="127" t="str">
        <f>Schedule!AC1</f>
        <v>S</v>
      </c>
      <c r="AB1" s="127" t="str">
        <f>Schedule!AD1</f>
        <v>M</v>
      </c>
      <c r="AC1" s="127" t="str">
        <f>Schedule!AE1</f>
        <v>T</v>
      </c>
      <c r="AD1" s="127" t="str">
        <f>Schedule!AF1</f>
        <v>W</v>
      </c>
      <c r="AE1" s="127" t="str">
        <f>Schedule!AG1</f>
        <v>Th</v>
      </c>
      <c r="AF1" s="127" t="str">
        <f>Schedule!AH1</f>
        <v>F</v>
      </c>
      <c r="AG1" s="127" t="str">
        <f>Schedule!AI1</f>
        <v>S</v>
      </c>
      <c r="AH1" s="127" t="str">
        <f>Schedule!AJ1</f>
        <v>S</v>
      </c>
      <c r="AI1" s="127" t="str">
        <f>Schedule!AK1</f>
        <v>M</v>
      </c>
      <c r="AJ1" s="127" t="str">
        <f>Schedule!AL1</f>
        <v>T</v>
      </c>
    </row>
    <row r="2" spans="1:40" s="130" customFormat="1" ht="22" customHeight="1" x14ac:dyDescent="0.2">
      <c r="A2" s="129" t="s">
        <v>64</v>
      </c>
      <c r="B2" s="129" t="s">
        <v>65</v>
      </c>
      <c r="C2" s="127">
        <f>Schedule!E$2</f>
        <v>27</v>
      </c>
      <c r="D2" s="127">
        <f>Schedule!F$2</f>
        <v>28</v>
      </c>
      <c r="E2" s="127">
        <f>Schedule!G$2</f>
        <v>29</v>
      </c>
      <c r="F2" s="127">
        <f>Schedule!H$2</f>
        <v>30</v>
      </c>
      <c r="G2" s="127">
        <f>Schedule!I$2</f>
        <v>31</v>
      </c>
      <c r="H2" s="127">
        <f>Schedule!J$2</f>
        <v>1</v>
      </c>
      <c r="I2" s="127">
        <f>Schedule!K2</f>
        <v>2</v>
      </c>
      <c r="J2" s="127">
        <f>Schedule!L2</f>
        <v>3</v>
      </c>
      <c r="K2" s="127">
        <f>Schedule!M2</f>
        <v>4</v>
      </c>
      <c r="L2" s="127">
        <f>Schedule!N2</f>
        <v>5</v>
      </c>
      <c r="M2" s="127">
        <f>Schedule!O2</f>
        <v>6</v>
      </c>
      <c r="N2" s="127">
        <f>Schedule!P2</f>
        <v>7</v>
      </c>
      <c r="O2" s="127">
        <f>Schedule!Q2</f>
        <v>8</v>
      </c>
      <c r="P2" s="127">
        <f>Schedule!R2</f>
        <v>9</v>
      </c>
      <c r="Q2" s="127">
        <f>Schedule!S2</f>
        <v>10</v>
      </c>
      <c r="R2" s="127">
        <f>Schedule!T2</f>
        <v>11</v>
      </c>
      <c r="S2" s="127">
        <f>Schedule!U2</f>
        <v>12</v>
      </c>
      <c r="T2" s="127">
        <f>Schedule!V2</f>
        <v>13</v>
      </c>
      <c r="U2" s="127">
        <f>Schedule!W2</f>
        <v>14</v>
      </c>
      <c r="V2" s="127">
        <f>Schedule!X2</f>
        <v>15</v>
      </c>
      <c r="W2" s="127">
        <f>Schedule!Y2</f>
        <v>16</v>
      </c>
      <c r="X2" s="127">
        <f>Schedule!Z2</f>
        <v>17</v>
      </c>
      <c r="Y2" s="127">
        <f>Schedule!AA2</f>
        <v>18</v>
      </c>
      <c r="Z2" s="127">
        <f>Schedule!AB2</f>
        <v>19</v>
      </c>
      <c r="AA2" s="127">
        <f>Schedule!AC2</f>
        <v>20</v>
      </c>
      <c r="AB2" s="127">
        <f>Schedule!AD2</f>
        <v>21</v>
      </c>
      <c r="AC2" s="127">
        <f>Schedule!AE2</f>
        <v>22</v>
      </c>
      <c r="AD2" s="127">
        <f>Schedule!AF2</f>
        <v>23</v>
      </c>
      <c r="AE2" s="127">
        <f>Schedule!AG2</f>
        <v>24</v>
      </c>
      <c r="AF2" s="127">
        <f>Schedule!AH2</f>
        <v>25</v>
      </c>
      <c r="AG2" s="127">
        <f>Schedule!AI2</f>
        <v>26</v>
      </c>
      <c r="AH2" s="127">
        <f>Schedule!AJ2</f>
        <v>27</v>
      </c>
      <c r="AI2" s="127">
        <f>Schedule!AK2</f>
        <v>28</v>
      </c>
      <c r="AJ2" s="127">
        <f>Schedule!AL2</f>
        <v>29</v>
      </c>
      <c r="AN2" s="128"/>
    </row>
    <row r="3" spans="1:40" ht="22" customHeight="1" x14ac:dyDescent="0.2">
      <c r="A3" s="131" t="str">
        <f>Schedule!C3</f>
        <v>Jane</v>
      </c>
      <c r="B3" s="131" t="str">
        <f>Schedule!D3</f>
        <v>Doe</v>
      </c>
      <c r="C3" s="132" t="str">
        <f>VLOOKUP(Schedule!E3,Schedule!$AP:$AQ,2,FALSE)</f>
        <v>OFF</v>
      </c>
      <c r="D3" s="132" t="str">
        <f>VLOOKUP(Schedule!F3,Schedule!$AP:$AQ,2,FALSE)</f>
        <v>OFF</v>
      </c>
      <c r="E3" s="132" t="str">
        <f>VLOOKUP(Schedule!G3,Schedule!$AP:$AQ,2,FALSE)</f>
        <v>5&amp;9(1)/ Stop 7</v>
      </c>
      <c r="F3" s="132" t="str">
        <f>VLOOKUP(Schedule!H3,Schedule!$AP:$AQ,2,FALSE)</f>
        <v xml:space="preserve">Booth(2)/ VC </v>
      </c>
      <c r="G3" s="132" t="str">
        <f>VLOOKUP(Schedule!I3,Schedule!$AP:$AQ,2,FALSE)</f>
        <v>OFF</v>
      </c>
      <c r="H3" s="132" t="str">
        <f>VLOOKUP(Schedule!J3,Schedule!$AP:$AQ,2,FALSE)</f>
        <v>OFF</v>
      </c>
      <c r="I3" s="132" t="str">
        <f>VLOOKUP(Schedule!K3,Schedule!$AP:$AQ,2,FALSE)</f>
        <v>Stop 7(2)</v>
      </c>
      <c r="J3" s="132" t="str">
        <f>VLOOKUP(Schedule!L3,Schedule!$AP:$AQ,2,FALSE)</f>
        <v>Stop 14(2)</v>
      </c>
      <c r="K3" s="132" t="str">
        <f>VLOOKUP(Schedule!M3,Schedule!$AP:$AQ,2,FALSE)</f>
        <v>OFF</v>
      </c>
      <c r="L3" s="132" t="str">
        <f>VLOOKUP(Schedule!N3,Schedule!$AP:$AQ,2,FALSE)</f>
        <v>OFF</v>
      </c>
      <c r="M3" s="132" t="str">
        <f>VLOOKUP(Schedule!O3,Schedule!$AP:$AQ,2,FALSE)</f>
        <v>Stop 14(2)</v>
      </c>
      <c r="N3" s="132" t="str">
        <f>VLOOKUP(Schedule!P3,Schedule!$AP:$AQ,2,FALSE)</f>
        <v xml:space="preserve">VC(1)/ Booth </v>
      </c>
      <c r="O3" s="132" t="str">
        <f>VLOOKUP(Schedule!Q3,Schedule!$AP:$AQ,2,FALSE)</f>
        <v>Stop 7(2)</v>
      </c>
      <c r="P3" s="132" t="str">
        <f>VLOOKUP(Schedule!R3,Schedule!$AP:$AQ,2,FALSE)</f>
        <v>OFF</v>
      </c>
      <c r="Q3" s="132" t="str">
        <f>VLOOKUP(Schedule!S3,Schedule!$AP:$AQ,2,FALSE)</f>
        <v>OFF</v>
      </c>
      <c r="R3" s="132" t="str">
        <f>VLOOKUP(Schedule!T3,Schedule!$AP:$AQ,2,FALSE)</f>
        <v>Art(1)/ Stop 7</v>
      </c>
      <c r="S3" s="132" t="str">
        <f>VLOOKUP(Schedule!U3,Schedule!$AP:$AQ,2,FALSE)</f>
        <v xml:space="preserve">Booth(1)/ VC </v>
      </c>
      <c r="T3" s="132" t="str">
        <f>VLOOKUP(Schedule!V3,Schedule!$AP:$AQ,2,FALSE)</f>
        <v>OFF</v>
      </c>
      <c r="U3" s="132" t="str">
        <f>VLOOKUP(Schedule!W3,Schedule!$AP:$AQ,2,FALSE)</f>
        <v>OFF</v>
      </c>
      <c r="V3" s="132" t="str">
        <f>VLOOKUP(Schedule!X3,Schedule!$AP:$AQ,2,FALSE)</f>
        <v xml:space="preserve">VC(2)/ Booth  </v>
      </c>
      <c r="W3" s="132" t="str">
        <f>VLOOKUP(Schedule!Y3,Schedule!$AP:$AQ,2,FALSE)</f>
        <v>Stop 7(2)/ 5&amp;9</v>
      </c>
      <c r="X3" s="132" t="str">
        <f>VLOOKUP(Schedule!Z3,Schedule!$AP:$AQ,2,FALSE)</f>
        <v>OFF</v>
      </c>
      <c r="Y3" s="132" t="str">
        <f>VLOOKUP(Schedule!AA3,Schedule!$AP:$AQ,2,FALSE)</f>
        <v>OFF</v>
      </c>
      <c r="Z3" s="132" t="str">
        <f>VLOOKUP(Schedule!AB3,Schedule!$AP:$AQ,2,FALSE)</f>
        <v xml:space="preserve">VC(1)/ Booth </v>
      </c>
      <c r="AA3" s="132" t="str">
        <f>VLOOKUP(Schedule!AC3,Schedule!$AP:$AQ,2,FALSE)</f>
        <v>Stop 14(2)</v>
      </c>
      <c r="AB3" s="132" t="str">
        <f>VLOOKUP(Schedule!AD3,Schedule!$AP:$AQ,2,FALSE)</f>
        <v>Stop 7(2)/ 5&amp;9</v>
      </c>
      <c r="AC3" s="132" t="str">
        <f>VLOOKUP(Schedule!AE3,Schedule!$AP:$AQ,2,FALSE)</f>
        <v>OFF</v>
      </c>
      <c r="AD3" s="132" t="str">
        <f>VLOOKUP(Schedule!AF3,Schedule!$AP:$AQ,2,FALSE)</f>
        <v>OFF</v>
      </c>
      <c r="AE3" s="132" t="str">
        <f>VLOOKUP(Schedule!AG3,Schedule!$AP:$AQ,2,FALSE)</f>
        <v xml:space="preserve">Booth(2)/ VC </v>
      </c>
      <c r="AF3" s="132" t="str">
        <f>VLOOKUP(Schedule!AH3,Schedule!$AP:$AQ,2,FALSE)</f>
        <v xml:space="preserve">Booth(1)/ VC </v>
      </c>
      <c r="AG3" s="132" t="str">
        <f>VLOOKUP(Schedule!AI3,Schedule!$AP:$AQ,2,FALSE)</f>
        <v>OFF</v>
      </c>
      <c r="AH3" s="132" t="str">
        <f>VLOOKUP(Schedule!AJ3,Schedule!$AP:$AQ,2,FALSE)</f>
        <v>OFF</v>
      </c>
      <c r="AI3" s="132" t="str">
        <f>VLOOKUP(Schedule!AK3,Schedule!$AP:$AQ,2,FALSE)</f>
        <v>Art(1)/ Stop 7</v>
      </c>
      <c r="AJ3" s="132" t="str">
        <f>VLOOKUP(Schedule!AL3,Schedule!$AP:$AQ,2,FALSE)</f>
        <v>Stop 7(2)</v>
      </c>
    </row>
    <row r="4" spans="1:40" ht="22" customHeight="1" x14ac:dyDescent="0.2">
      <c r="A4" s="131" t="str">
        <f>Schedule!C4</f>
        <v>Jane</v>
      </c>
      <c r="B4" s="131" t="str">
        <f>Schedule!D4</f>
        <v>Doe</v>
      </c>
      <c r="C4" s="132" t="str">
        <f>VLOOKUP(Schedule!E4,Schedule!$AP:$AQ,2,FALSE)</f>
        <v>Art(1)/ Stop 7</v>
      </c>
      <c r="D4" s="132" t="str">
        <f>VLOOKUP(Schedule!F4,Schedule!$AP:$AQ,2,FALSE)</f>
        <v>Stop 14(2)</v>
      </c>
      <c r="E4" s="132" t="str">
        <f>VLOOKUP(Schedule!G4,Schedule!$AP:$AQ,2,FALSE)</f>
        <v>OFF</v>
      </c>
      <c r="F4" s="132" t="str">
        <f>VLOOKUP(Schedule!H4,Schedule!$AP:$AQ,2,FALSE)</f>
        <v>OFF</v>
      </c>
      <c r="G4" s="132" t="str">
        <f>VLOOKUP(Schedule!I4,Schedule!$AP:$AQ,2,FALSE)</f>
        <v xml:space="preserve">VC(2)/ Booth  </v>
      </c>
      <c r="H4" s="132" t="str">
        <f>VLOOKUP(Schedule!J4,Schedule!$AP:$AQ,2,FALSE)</f>
        <v>Stop 14(2)</v>
      </c>
      <c r="I4" s="132" t="str">
        <f>VLOOKUP(Schedule!K4,Schedule!$AP:$AQ,2,FALSE)</f>
        <v>OFF</v>
      </c>
      <c r="J4" s="132" t="str">
        <f>VLOOKUP(Schedule!L4,Schedule!$AP:$AQ,2,FALSE)</f>
        <v>OFF</v>
      </c>
      <c r="K4" s="132" t="str">
        <f>VLOOKUP(Schedule!M4,Schedule!$AP:$AQ,2,FALSE)</f>
        <v>Stop 7(2)/ 5&amp;9</v>
      </c>
      <c r="L4" s="132" t="str">
        <f>VLOOKUP(Schedule!N4,Schedule!$AP:$AQ,2,FALSE)</f>
        <v>Stop 14(2)</v>
      </c>
      <c r="M4" s="132" t="str">
        <f>VLOOKUP(Schedule!O4,Schedule!$AP:$AQ,2,FALSE)</f>
        <v xml:space="preserve">VC(1)/ Booth </v>
      </c>
      <c r="N4" s="132" t="str">
        <f>VLOOKUP(Schedule!P4,Schedule!$AP:$AQ,2,FALSE)</f>
        <v>OFF</v>
      </c>
      <c r="O4" s="132" t="str">
        <f>VLOOKUP(Schedule!Q4,Schedule!$AP:$AQ,2,FALSE)</f>
        <v>OFF</v>
      </c>
      <c r="P4" s="132" t="str">
        <f>VLOOKUP(Schedule!R4,Schedule!$AP:$AQ,2,FALSE)</f>
        <v xml:space="preserve">Booth(2)/ VC </v>
      </c>
      <c r="Q4" s="132" t="str">
        <f>VLOOKUP(Schedule!S4,Schedule!$AP:$AQ,2,FALSE)</f>
        <v xml:space="preserve">Booth(1)/ VC </v>
      </c>
      <c r="R4" s="132" t="str">
        <f>VLOOKUP(Schedule!T4,Schedule!$AP:$AQ,2,FALSE)</f>
        <v>OFF</v>
      </c>
      <c r="S4" s="132" t="str">
        <f>VLOOKUP(Schedule!U4,Schedule!$AP:$AQ,2,FALSE)</f>
        <v>OFF</v>
      </c>
      <c r="T4" s="132" t="str">
        <f>VLOOKUP(Schedule!V4,Schedule!$AP:$AQ,2,FALSE)</f>
        <v>Stop 7(2)/ 5&amp;9</v>
      </c>
      <c r="U4" s="132" t="str">
        <f>VLOOKUP(Schedule!W4,Schedule!$AP:$AQ,2,FALSE)</f>
        <v xml:space="preserve">VC(1)/ Booth </v>
      </c>
      <c r="V4" s="132" t="str">
        <f>VLOOKUP(Schedule!X4,Schedule!$AP:$AQ,2,FALSE)</f>
        <v xml:space="preserve">Booth(2)/ VC </v>
      </c>
      <c r="W4" s="132" t="str">
        <f>VLOOKUP(Schedule!Y4,Schedule!$AP:$AQ,2,FALSE)</f>
        <v>OFF</v>
      </c>
      <c r="X4" s="132" t="str">
        <f>VLOOKUP(Schedule!Z4,Schedule!$AP:$AQ,2,FALSE)</f>
        <v>OFF</v>
      </c>
      <c r="Y4" s="132" t="str">
        <f>VLOOKUP(Schedule!AA4,Schedule!$AP:$AQ,2,FALSE)</f>
        <v xml:space="preserve">Booth(1)/ VC </v>
      </c>
      <c r="Z4" s="132" t="str">
        <f>VLOOKUP(Schedule!AB4,Schedule!$AP:$AQ,2,FALSE)</f>
        <v>Stop 7(2)</v>
      </c>
      <c r="AA4" s="132" t="str">
        <f>VLOOKUP(Schedule!AC4,Schedule!$AP:$AQ,2,FALSE)</f>
        <v>Art(1)/ Stop 7</v>
      </c>
      <c r="AB4" s="132" t="str">
        <f>VLOOKUP(Schedule!AD4,Schedule!$AP:$AQ,2,FALSE)</f>
        <v>OFF</v>
      </c>
      <c r="AC4" s="132" t="str">
        <f>VLOOKUP(Schedule!AE4,Schedule!$AP:$AQ,2,FALSE)</f>
        <v>OFF</v>
      </c>
      <c r="AD4" s="132" t="str">
        <f>VLOOKUP(Schedule!AF4,Schedule!$AP:$AQ,2,FALSE)</f>
        <v>5&amp;9(1)/ Stop 7</v>
      </c>
      <c r="AE4" s="132" t="str">
        <f>VLOOKUP(Schedule!AG4,Schedule!$AP:$AQ,2,FALSE)</f>
        <v>Stop 7(2)</v>
      </c>
      <c r="AF4" s="132" t="str">
        <f>VLOOKUP(Schedule!AH4,Schedule!$AP:$AQ,2,FALSE)</f>
        <v>OFF</v>
      </c>
      <c r="AG4" s="132" t="str">
        <f>VLOOKUP(Schedule!AI4,Schedule!$AP:$AQ,2,FALSE)</f>
        <v>OFF</v>
      </c>
      <c r="AH4" s="132" t="str">
        <f>VLOOKUP(Schedule!AJ4,Schedule!$AP:$AQ,2,FALSE)</f>
        <v xml:space="preserve">VC(2)/ Booth  </v>
      </c>
      <c r="AI4" s="132" t="str">
        <f>VLOOKUP(Schedule!AK4,Schedule!$AP:$AQ,2,FALSE)</f>
        <v>5&amp;9(1)/ Stop 7</v>
      </c>
      <c r="AJ4" s="132" t="str">
        <f>VLOOKUP(Schedule!AL4,Schedule!$AP:$AQ,2,FALSE)</f>
        <v>OFF</v>
      </c>
    </row>
    <row r="5" spans="1:40" ht="22" customHeight="1" x14ac:dyDescent="0.2">
      <c r="A5" s="131" t="str">
        <f>Schedule!C5</f>
        <v>Jane</v>
      </c>
      <c r="B5" s="131" t="str">
        <f>Schedule!D5</f>
        <v>Doe</v>
      </c>
      <c r="C5" s="132" t="str">
        <f>VLOOKUP(Schedule!E5,Schedule!$AP:$AQ,2,FALSE)</f>
        <v>OFF</v>
      </c>
      <c r="D5" s="132" t="str">
        <f>VLOOKUP(Schedule!F5,Schedule!$AP:$AQ,2,FALSE)</f>
        <v>OFF</v>
      </c>
      <c r="E5" s="132" t="str">
        <f>VLOOKUP(Schedule!G5,Schedule!$AP:$AQ,2,FALSE)</f>
        <v xml:space="preserve">VC(1)/ Booth </v>
      </c>
      <c r="F5" s="132" t="str">
        <f>VLOOKUP(Schedule!H5,Schedule!$AP:$AQ,2,FALSE)</f>
        <v>Stop 14(2)</v>
      </c>
      <c r="G5" s="132" t="str">
        <f>VLOOKUP(Schedule!I5,Schedule!$AP:$AQ,2,FALSE)</f>
        <v>Stop 7(2)/ 5&amp;9</v>
      </c>
      <c r="H5" s="132" t="str">
        <f>VLOOKUP(Schedule!J5,Schedule!$AP:$AQ,2,FALSE)</f>
        <v>OFF</v>
      </c>
      <c r="I5" s="132" t="s">
        <v>83</v>
      </c>
      <c r="J5" s="132" t="str">
        <f>VLOOKUP(Schedule!L5,Schedule!$AP:$AQ,2,FALSE)</f>
        <v>Stop 7(2)</v>
      </c>
      <c r="K5" s="132" t="str">
        <f>VLOOKUP(Schedule!M5,Schedule!$AP:$AQ,2,FALSE)</f>
        <v xml:space="preserve">Booth(2)/ VC </v>
      </c>
      <c r="L5" s="132" t="str">
        <f>VLOOKUP(Schedule!N5,Schedule!$AP:$AQ,2,FALSE)</f>
        <v>OFF</v>
      </c>
      <c r="M5" s="132" t="str">
        <f>VLOOKUP(Schedule!O5,Schedule!$AP:$AQ,2,FALSE)</f>
        <v>OFF</v>
      </c>
      <c r="N5" s="132" t="str">
        <f>VLOOKUP(Schedule!P5,Schedule!$AP:$AQ,2,FALSE)</f>
        <v>Art(1)/ Stop 7</v>
      </c>
      <c r="O5" s="132" t="str">
        <f>VLOOKUP(Schedule!Q5,Schedule!$AP:$AQ,2,FALSE)</f>
        <v>Stop 14(2)</v>
      </c>
      <c r="P5" s="132" t="str">
        <f>VLOOKUP(Schedule!R5,Schedule!$AP:$AQ,2,FALSE)</f>
        <v>OFF</v>
      </c>
      <c r="Q5" s="132" t="str">
        <f>VLOOKUP(Schedule!S5,Schedule!$AP:$AQ,2,FALSE)</f>
        <v>OFF</v>
      </c>
      <c r="R5" s="132" t="str">
        <f>VLOOKUP(Schedule!T5,Schedule!$AP:$AQ,2,FALSE)</f>
        <v xml:space="preserve">Booth(1)/ VC </v>
      </c>
      <c r="S5" s="132" t="str">
        <f>VLOOKUP(Schedule!U5,Schedule!$AP:$AQ,2,FALSE)</f>
        <v xml:space="preserve">VC(2)/ Booth  </v>
      </c>
      <c r="T5" s="132" t="str">
        <f>VLOOKUP(Schedule!V5,Schedule!$AP:$AQ,2,FALSE)</f>
        <v>5&amp;9(1)/ Stop 7</v>
      </c>
      <c r="U5" s="132" t="str">
        <f>VLOOKUP(Schedule!W5,Schedule!$AP:$AQ,2,FALSE)</f>
        <v>OFF</v>
      </c>
      <c r="V5" s="132" t="str">
        <f>VLOOKUP(Schedule!X5,Schedule!$AP:$AQ,2,FALSE)</f>
        <v>OFF</v>
      </c>
      <c r="W5" s="132" t="str">
        <f>VLOOKUP(Schedule!Y5,Schedule!$AP:$AQ,2,FALSE)</f>
        <v xml:space="preserve">VC(1)/ Booth </v>
      </c>
      <c r="X5" s="132" t="str">
        <f>VLOOKUP(Schedule!Z5,Schedule!$AP:$AQ,2,FALSE)</f>
        <v>5&amp;9(1)/ Stop 7</v>
      </c>
      <c r="Y5" s="132" t="str">
        <f>VLOOKUP(Schedule!AA5,Schedule!$AP:$AQ,2,FALSE)</f>
        <v>OFF</v>
      </c>
      <c r="Z5" s="132" t="str">
        <f>VLOOKUP(Schedule!AB5,Schedule!$AP:$AQ,2,FALSE)</f>
        <v>OFF</v>
      </c>
      <c r="AA5" s="132" t="str">
        <f>VLOOKUP(Schedule!AC5,Schedule!$AP:$AQ,2,FALSE)</f>
        <v>Stop 7(2)</v>
      </c>
      <c r="AB5" s="132" t="str">
        <f>VLOOKUP(Schedule!AD5,Schedule!$AP:$AQ,2,FALSE)</f>
        <v>Stop 14(2)</v>
      </c>
      <c r="AC5" s="132" t="str">
        <f>VLOOKUP(Schedule!AE5,Schedule!$AP:$AQ,2,FALSE)</f>
        <v>OFF</v>
      </c>
      <c r="AD5" s="132" t="str">
        <f>VLOOKUP(Schedule!AF5,Schedule!$AP:$AQ,2,FALSE)</f>
        <v>OFF</v>
      </c>
      <c r="AE5" s="132" t="str">
        <f>VLOOKUP(Schedule!AG5,Schedule!$AP:$AQ,2,FALSE)</f>
        <v xml:space="preserve">Booth(1)/ VC </v>
      </c>
      <c r="AF5" s="132" t="str">
        <f>VLOOKUP(Schedule!AH5,Schedule!$AP:$AQ,2,FALSE)</f>
        <v>Stop 7(2)/ 5&amp;9</v>
      </c>
      <c r="AG5" s="132" t="str">
        <f>VLOOKUP(Schedule!AI5,Schedule!$AP:$AQ,2,FALSE)</f>
        <v>OFF</v>
      </c>
      <c r="AH5" s="132" t="str">
        <f>VLOOKUP(Schedule!AJ5,Schedule!$AP:$AQ,2,FALSE)</f>
        <v>OFF</v>
      </c>
      <c r="AI5" s="132" t="str">
        <f>VLOOKUP(Schedule!AK5,Schedule!$AP:$AQ,2,FALSE)</f>
        <v>Stop 14(2)</v>
      </c>
      <c r="AJ5" s="132" t="str">
        <f>VLOOKUP(Schedule!AL5,Schedule!$AP:$AQ,2,FALSE)</f>
        <v xml:space="preserve">Booth(2)/ VC </v>
      </c>
    </row>
    <row r="6" spans="1:40" ht="21.75" customHeight="1" x14ac:dyDescent="0.2">
      <c r="A6" s="131" t="str">
        <f>Schedule!C6</f>
        <v>Jane</v>
      </c>
      <c r="B6" s="131" t="str">
        <f>Schedule!D6</f>
        <v>Doe</v>
      </c>
      <c r="C6" s="132" t="str">
        <f>VLOOKUP(Schedule!E6,Schedule!$AP:$AQ,2,FALSE)</f>
        <v xml:space="preserve">Booth(1)/ VC </v>
      </c>
      <c r="D6" s="132" t="str">
        <f>VLOOKUP(Schedule!F6,Schedule!$AP:$AQ,2,FALSE)</f>
        <v>Art(1)/ Stop 7</v>
      </c>
      <c r="E6" s="132" t="str">
        <f>VLOOKUP(Schedule!G6,Schedule!$AP:$AQ,2,FALSE)</f>
        <v>OFF</v>
      </c>
      <c r="F6" s="132" t="str">
        <f>VLOOKUP(Schedule!H6,Schedule!$AP:$AQ,2,FALSE)</f>
        <v>OFF</v>
      </c>
      <c r="G6" s="132" t="str">
        <f>VLOOKUP(Schedule!I6,Schedule!$AP:$AQ,2,FALSE)</f>
        <v>Stop 7(2)</v>
      </c>
      <c r="H6" s="132" t="str">
        <f>VLOOKUP(Schedule!J6,Schedule!$AP:$AQ,2,FALSE)</f>
        <v xml:space="preserve">VC(2)/ Booth  </v>
      </c>
      <c r="I6" s="132" t="str">
        <f>VLOOKUP(Schedule!K6,Schedule!$AP:$AQ,2,FALSE)</f>
        <v>OFF</v>
      </c>
      <c r="J6" s="132" t="str">
        <f>VLOOKUP(Schedule!L6,Schedule!$AP:$AQ,2,FALSE)</f>
        <v>OFF</v>
      </c>
      <c r="K6" s="132" t="str">
        <f>VLOOKUP(Schedule!M6,Schedule!$AP:$AQ,2,FALSE)</f>
        <v>5&amp;9(1)/ Stop 7</v>
      </c>
      <c r="L6" s="132" t="str">
        <f>VLOOKUP(Schedule!N6,Schedule!$AP:$AQ,2,FALSE)</f>
        <v>Stop 7(2)/ 5&amp;9</v>
      </c>
      <c r="M6" s="132" t="str">
        <f>VLOOKUP(Schedule!O6,Schedule!$AP:$AQ,2,FALSE)</f>
        <v>OFF</v>
      </c>
      <c r="N6" s="132" t="str">
        <f>VLOOKUP(Schedule!P6,Schedule!$AP:$AQ,2,FALSE)</f>
        <v>OFF</v>
      </c>
      <c r="O6" s="132" t="str">
        <f>VLOOKUP(Schedule!Q6,Schedule!$AP:$AQ,2,FALSE)</f>
        <v xml:space="preserve">VC(1)/ Booth </v>
      </c>
      <c r="P6" s="132" t="str">
        <f>VLOOKUP(Schedule!R6,Schedule!$AP:$AQ,2,FALSE)</f>
        <v>OFF</v>
      </c>
      <c r="Q6" s="132" t="str">
        <f>VLOOKUP(Schedule!S6,Schedule!$AP:$AQ,2,FALSE)</f>
        <v>Stop 14(2)</v>
      </c>
      <c r="R6" s="132" t="str">
        <f>VLOOKUP(Schedule!T6,Schedule!$AP:$AQ,2,FALSE)</f>
        <v xml:space="preserve">Booth(2)/ VC </v>
      </c>
      <c r="S6" s="132" t="str">
        <f>VLOOKUP(Schedule!U6,Schedule!$AP:$AQ,2,FALSE)</f>
        <v>OFF</v>
      </c>
      <c r="T6" s="132" t="str">
        <f>VLOOKUP(Schedule!V6,Schedule!$AP:$AQ,2,FALSE)</f>
        <v>OFF</v>
      </c>
      <c r="U6" s="132" t="str">
        <f>VLOOKUP(Schedule!W6,Schedule!$AP:$AQ,2,FALSE)</f>
        <v>Stop 14(2)</v>
      </c>
      <c r="V6" s="132" t="str">
        <f>VLOOKUP(Schedule!X6,Schedule!$AP:$AQ,2,FALSE)</f>
        <v>Stop 7(2)</v>
      </c>
      <c r="W6" s="132" t="str">
        <f>VLOOKUP(Schedule!Y6,Schedule!$AP:$AQ,2,FALSE)</f>
        <v>OFF</v>
      </c>
      <c r="X6" s="132" t="str">
        <f>VLOOKUP(Schedule!Z6,Schedule!$AP:$AQ,2,FALSE)</f>
        <v>OFF</v>
      </c>
      <c r="Y6" s="132" t="str">
        <f>VLOOKUP(Schedule!AA6,Schedule!$AP:$AQ,2,FALSE)</f>
        <v xml:space="preserve">VC(1)/ Booth </v>
      </c>
      <c r="Z6" s="132" t="str">
        <f>VLOOKUP(Schedule!AB6,Schedule!$AP:$AQ,2,FALSE)</f>
        <v>Stop 14(2)</v>
      </c>
      <c r="AA6" s="132" t="str">
        <f>VLOOKUP(Schedule!AC6,Schedule!$AP:$AQ,2,FALSE)</f>
        <v xml:space="preserve">Booth(2)/ VC </v>
      </c>
      <c r="AB6" s="132" t="str">
        <f>VLOOKUP(Schedule!AD6,Schedule!$AP:$AQ,2,FALSE)</f>
        <v>OFF</v>
      </c>
      <c r="AC6" s="132" t="str">
        <f>VLOOKUP(Schedule!AE6,Schedule!$AP:$AQ,2,FALSE)</f>
        <v>OFF</v>
      </c>
      <c r="AD6" s="132" t="str">
        <f>VLOOKUP(Schedule!AF6,Schedule!$AP:$AQ,2,FALSE)</f>
        <v xml:space="preserve">Booth(1)/ VC </v>
      </c>
      <c r="AE6" s="132" t="str">
        <f>VLOOKUP(Schedule!AG6,Schedule!$AP:$AQ,2,FALSE)</f>
        <v>5&amp;9(1)/ Stop 7</v>
      </c>
      <c r="AF6" s="132" t="str">
        <f>VLOOKUP(Schedule!AH6,Schedule!$AP:$AQ,2,FALSE)</f>
        <v>Art(1)/ Stop 7</v>
      </c>
      <c r="AG6" s="132" t="str">
        <f>VLOOKUP(Schedule!AI6,Schedule!$AP:$AQ,2,FALSE)</f>
        <v>OFF</v>
      </c>
      <c r="AH6" s="132" t="str">
        <f>VLOOKUP(Schedule!AJ6,Schedule!$AP:$AQ,2,FALSE)</f>
        <v>Stop 7(2)/ 5&amp;9</v>
      </c>
      <c r="AI6" s="132" t="str">
        <f>VLOOKUP(Schedule!AK6,Schedule!$AP:$AQ,2,FALSE)</f>
        <v xml:space="preserve">VC(2)/ Booth  </v>
      </c>
      <c r="AJ6" s="132" t="str">
        <f>VLOOKUP(Schedule!AL6,Schedule!$AP:$AQ,2,FALSE)</f>
        <v>Stop 14(2)</v>
      </c>
    </row>
    <row r="7" spans="1:40" ht="22" customHeight="1" x14ac:dyDescent="0.2">
      <c r="A7" s="131" t="str">
        <f>Schedule!C7</f>
        <v>Jane</v>
      </c>
      <c r="B7" s="131" t="str">
        <f>Schedule!D7</f>
        <v>Doe</v>
      </c>
      <c r="C7" s="132" t="str">
        <f>VLOOKUP(Schedule!E7,Schedule!$AP:$AQ,2,FALSE)</f>
        <v>OFF</v>
      </c>
      <c r="D7" s="132" t="str">
        <f>VLOOKUP(Schedule!F7,Schedule!$AP:$AQ,2,FALSE)</f>
        <v>OFF</v>
      </c>
      <c r="E7" s="132" t="str">
        <f>VLOOKUP(Schedule!G7,Schedule!$AP:$AQ,2,FALSE)</f>
        <v>Stop 14(2)</v>
      </c>
      <c r="F7" s="132" t="str">
        <f>VLOOKUP(Schedule!H7,Schedule!$AP:$AQ,2,FALSE)</f>
        <v>Stop 7(2)/ 5&amp;9</v>
      </c>
      <c r="G7" s="132" t="str">
        <f>VLOOKUP(Schedule!I7,Schedule!$AP:$AQ,2,FALSE)</f>
        <v>OFF</v>
      </c>
      <c r="H7" s="132" t="str">
        <f>VLOOKUP(Schedule!J7,Schedule!$AP:$AQ,2,FALSE)</f>
        <v>OFF</v>
      </c>
      <c r="I7" s="132" t="str">
        <f>VLOOKUP(Schedule!K7,Schedule!$AP:$AQ,2,FALSE)</f>
        <v xml:space="preserve">VC(1)/ Booth </v>
      </c>
      <c r="J7" s="132" t="str">
        <f>VLOOKUP(Schedule!L7,Schedule!$AP:$AQ,2,FALSE)</f>
        <v xml:space="preserve">Booth(2)/ VC </v>
      </c>
      <c r="K7" s="132" t="str">
        <f>VLOOKUP(Schedule!M7,Schedule!$AP:$AQ,2,FALSE)</f>
        <v>Stop 7(2)</v>
      </c>
      <c r="L7" s="132" t="str">
        <f>VLOOKUP(Schedule!N7,Schedule!$AP:$AQ,2,FALSE)</f>
        <v>OFF</v>
      </c>
      <c r="M7" s="132" t="str">
        <f>VLOOKUP(Schedule!O7,Schedule!$AP:$AQ,2,FALSE)</f>
        <v>OFF</v>
      </c>
      <c r="N7" s="132" t="str">
        <f>VLOOKUP(Schedule!P7,Schedule!$AP:$AQ,2,FALSE)</f>
        <v xml:space="preserve">Booth(1)/ VC </v>
      </c>
      <c r="O7" s="132" t="str">
        <f>VLOOKUP(Schedule!Q7,Schedule!$AP:$AQ,2,FALSE)</f>
        <v xml:space="preserve">VC(2)/ Booth  </v>
      </c>
      <c r="P7" s="132" t="str">
        <f>VLOOKUP(Schedule!R7,Schedule!$AP:$AQ,2,FALSE)</f>
        <v>Art(1)/ Stop 7</v>
      </c>
      <c r="Q7" s="132" t="str">
        <f>VLOOKUP(Schedule!S7,Schedule!$AP:$AQ,2,FALSE)</f>
        <v>OFF</v>
      </c>
      <c r="R7" s="132" t="str">
        <f>VLOOKUP(Schedule!T7,Schedule!$AP:$AQ,2,FALSE)</f>
        <v>OFF</v>
      </c>
      <c r="S7" s="132" t="str">
        <f>VLOOKUP(Schedule!U7,Schedule!$AP:$AQ,2,FALSE)</f>
        <v>5&amp;9(1)/ Stop 7</v>
      </c>
      <c r="T7" s="132" t="str">
        <f>VLOOKUP(Schedule!V7,Schedule!$AP:$AQ,2,FALSE)</f>
        <v>Stop 14(2)</v>
      </c>
      <c r="U7" s="132" t="str">
        <f>VLOOKUP(Schedule!W7,Schedule!$AP:$AQ,2,FALSE)</f>
        <v>Stop 7(2)</v>
      </c>
      <c r="V7" s="132" t="str">
        <f>VLOOKUP(Schedule!X7,Schedule!$AP:$AQ,2,FALSE)</f>
        <v>OFF</v>
      </c>
      <c r="W7" s="132" t="str">
        <f>VLOOKUP(Schedule!Y7,Schedule!$AP:$AQ,2,FALSE)</f>
        <v>OFF</v>
      </c>
      <c r="X7" s="132" t="str">
        <f>VLOOKUP(Schedule!Z7,Schedule!$AP:$AQ,2,FALSE)</f>
        <v xml:space="preserve">VC(1)/ Booth </v>
      </c>
      <c r="Y7" s="132" t="str">
        <f>VLOOKUP(Schedule!AA7,Schedule!$AP:$AQ,2,FALSE)</f>
        <v>Stop 14(2)</v>
      </c>
      <c r="Z7" s="132" t="str">
        <f>VLOOKUP(Schedule!AB7,Schedule!$AP:$AQ,2,FALSE)</f>
        <v>OFF</v>
      </c>
      <c r="AA7" s="132" t="str">
        <f>VLOOKUP(Schedule!AC7,Schedule!$AP:$AQ,2,FALSE)</f>
        <v>OFF</v>
      </c>
      <c r="AB7" s="132" t="str">
        <f>VLOOKUP(Schedule!AD7,Schedule!$AP:$AQ,2,FALSE)</f>
        <v xml:space="preserve">Booth(2)/ VC </v>
      </c>
      <c r="AC7" s="132" t="str">
        <f>VLOOKUP(Schedule!AE7,Schedule!$AP:$AQ,2,FALSE)</f>
        <v xml:space="preserve">Booth(1)/ VC </v>
      </c>
      <c r="AD7" s="132" t="str">
        <f>VLOOKUP(Schedule!AF7,Schedule!$AP:$AQ,2,FALSE)</f>
        <v>OFF</v>
      </c>
      <c r="AE7" s="132" t="str">
        <f>VLOOKUP(Schedule!AG7,Schedule!$AP:$AQ,2,FALSE)</f>
        <v>OFF</v>
      </c>
      <c r="AF7" s="132" t="str">
        <f>VLOOKUP(Schedule!AH7,Schedule!$AP:$AQ,2,FALSE)</f>
        <v>5&amp;9(1)/ Stop 7</v>
      </c>
      <c r="AG7" s="132" t="str">
        <f>VLOOKUP(Schedule!AI7,Schedule!$AP:$AQ,2,FALSE)</f>
        <v>Art(1)/ Stop 7</v>
      </c>
      <c r="AH7" s="132" t="str">
        <f>VLOOKUP(Schedule!AJ7,Schedule!$AP:$AQ,2,FALSE)</f>
        <v>OFF</v>
      </c>
      <c r="AI7" s="132" t="str">
        <f>VLOOKUP(Schedule!AK7,Schedule!$AP:$AQ,2,FALSE)</f>
        <v>OFF</v>
      </c>
      <c r="AJ7" s="132" t="str">
        <f>VLOOKUP(Schedule!AL7,Schedule!$AP:$AQ,2,FALSE)</f>
        <v xml:space="preserve">VC(2)/ Booth  </v>
      </c>
    </row>
    <row r="8" spans="1:40" ht="22" customHeight="1" x14ac:dyDescent="0.2">
      <c r="A8" s="131" t="str">
        <f>Schedule!C8</f>
        <v>Jane</v>
      </c>
      <c r="B8" s="131" t="str">
        <f>Schedule!D8</f>
        <v>Doe</v>
      </c>
      <c r="C8" s="132" t="str">
        <f>VLOOKUP(Schedule!E8,Schedule!$AP:$AQ,2,FALSE)</f>
        <v xml:space="preserve">Booth(2)/ VC </v>
      </c>
      <c r="D8" s="132" t="str">
        <f>VLOOKUP(Schedule!F8,Schedule!$AP:$AQ,2,FALSE)</f>
        <v xml:space="preserve">Booth(1)/ VC </v>
      </c>
      <c r="E8" s="132" t="str">
        <f>VLOOKUP(Schedule!G8,Schedule!$AP:$AQ,2,FALSE)</f>
        <v>OFF</v>
      </c>
      <c r="F8" s="132" t="str">
        <f>VLOOKUP(Schedule!H8,Schedule!$AP:$AQ,2,FALSE)</f>
        <v>OFF</v>
      </c>
      <c r="G8" s="132" t="str">
        <f>VLOOKUP(Schedule!I8,Schedule!$AP:$AQ,2,FALSE)</f>
        <v>Stop 14(2)</v>
      </c>
      <c r="H8" s="132" t="str">
        <f>VLOOKUP(Schedule!J8,Schedule!$AP:$AQ,2,FALSE)</f>
        <v>Art(1)/ Stop 7</v>
      </c>
      <c r="I8" s="132" t="str">
        <f>VLOOKUP(Schedule!K8,Schedule!$AP:$AQ,2,FALSE)</f>
        <v>OFF</v>
      </c>
      <c r="J8" s="132" t="str">
        <f>VLOOKUP(Schedule!L8,Schedule!$AP:$AQ,2,FALSE)</f>
        <v>OFF</v>
      </c>
      <c r="K8" s="132" t="str">
        <f>VLOOKUP(Schedule!M8,Schedule!$AP:$AQ,2,FALSE)</f>
        <v xml:space="preserve">VC(2)/ Booth  </v>
      </c>
      <c r="L8" s="132" t="str">
        <f>VLOOKUP(Schedule!N8,Schedule!$AP:$AQ,2,FALSE)</f>
        <v>Stop 7(2)</v>
      </c>
      <c r="M8" s="132" t="str">
        <f>VLOOKUP(Schedule!O8,Schedule!$AP:$AQ,2,FALSE)</f>
        <v>OFF</v>
      </c>
      <c r="N8" s="132" t="str">
        <f>VLOOKUP(Schedule!P8,Schedule!$AP:$AQ,2,FALSE)</f>
        <v>OFF</v>
      </c>
      <c r="O8" s="132" t="str">
        <f>VLOOKUP(Schedule!Q8,Schedule!$AP:$AQ,2,FALSE)</f>
        <v>5&amp;9(1)/ Stop 7</v>
      </c>
      <c r="P8" s="132" t="str">
        <f>VLOOKUP(Schedule!R8,Schedule!$AP:$AQ,2,FALSE)</f>
        <v xml:space="preserve">VC(1)/ Booth </v>
      </c>
      <c r="Q8" s="132" t="str">
        <f>VLOOKUP(Schedule!S8,Schedule!$AP:$AQ,2,FALSE)</f>
        <v>OFF</v>
      </c>
      <c r="R8" s="132" t="str">
        <f>VLOOKUP(Schedule!T8,Schedule!$AP:$AQ,2,FALSE)</f>
        <v>Stop 7(2)/ 5&amp;9</v>
      </c>
      <c r="S8" s="132" t="str">
        <f>VLOOKUP(Schedule!U8,Schedule!$AP:$AQ,2,FALSE)</f>
        <v>Stop 14(2)</v>
      </c>
      <c r="T8" s="132" t="str">
        <f>VLOOKUP(Schedule!V8,Schedule!$AP:$AQ,2,FALSE)</f>
        <v>OFF</v>
      </c>
      <c r="U8" s="132" t="str">
        <f>VLOOKUP(Schedule!W8,Schedule!$AP:$AQ,2,FALSE)</f>
        <v>OFF</v>
      </c>
      <c r="V8" s="132" t="str">
        <f>VLOOKUP(Schedule!X8,Schedule!$AP:$AQ,2,FALSE)</f>
        <v>5&amp;9(1)/ Stop 7</v>
      </c>
      <c r="W8" s="132" t="str">
        <f>VLOOKUP(Schedule!Y8,Schedule!$AP:$AQ,2,FALSE)</f>
        <v xml:space="preserve">Booth(2)/ VC </v>
      </c>
      <c r="X8" s="132" t="str">
        <f>VLOOKUP(Schedule!Z8,Schedule!$AP:$AQ,2,FALSE)</f>
        <v>OFF</v>
      </c>
      <c r="Y8" s="132" t="str">
        <f>VLOOKUP(Schedule!AA8,Schedule!$AP:$AQ,2,FALSE)</f>
        <v>OFF</v>
      </c>
      <c r="Z8" s="132" t="str">
        <f>VLOOKUP(Schedule!AB8,Schedule!$AP:$AQ,2,FALSE)</f>
        <v>Stop 7(2)/ 5&amp;9</v>
      </c>
      <c r="AA8" s="132" t="str">
        <f>VLOOKUP(Schedule!AC8,Schedule!$AP:$AQ,2,FALSE)</f>
        <v xml:space="preserve">Booth(1)/ VC </v>
      </c>
      <c r="AB8" s="132" t="str">
        <f>VLOOKUP(Schedule!AD8,Schedule!$AP:$AQ,2,FALSE)</f>
        <v>OFF</v>
      </c>
      <c r="AC8" s="132" t="str">
        <f>VLOOKUP(Schedule!AE8,Schedule!$AP:$AQ,2,FALSE)</f>
        <v>OFF</v>
      </c>
      <c r="AD8" s="132" t="str">
        <f>VLOOKUP(Schedule!AF8,Schedule!$AP:$AQ,2,FALSE)</f>
        <v xml:space="preserve">VC(2)/ Booth  </v>
      </c>
      <c r="AE8" s="132" t="str">
        <f>VLOOKUP(Schedule!AG8,Schedule!$AP:$AQ,2,FALSE)</f>
        <v>Stop 14(2)</v>
      </c>
      <c r="AF8" s="132" t="str">
        <f>VLOOKUP(Schedule!AH8,Schedule!$AP:$AQ,2,FALSE)</f>
        <v>OFF</v>
      </c>
      <c r="AG8" s="132" t="str">
        <f>VLOOKUP(Schedule!AI8,Schedule!$AP:$AQ,2,FALSE)</f>
        <v>OFF</v>
      </c>
      <c r="AH8" s="132" t="str">
        <f>VLOOKUP(Schedule!AJ8,Schedule!$AP:$AQ,2,FALSE)</f>
        <v>Art(1)/ Stop 7</v>
      </c>
      <c r="AI8" s="132" t="str">
        <f>VLOOKUP(Schedule!AK8,Schedule!$AP:$AQ,2,FALSE)</f>
        <v>Stop 7(2)</v>
      </c>
      <c r="AJ8" s="132" t="str">
        <f>VLOOKUP(Schedule!AL8,Schedule!$AP:$AQ,2,FALSE)</f>
        <v>OFF</v>
      </c>
    </row>
    <row r="9" spans="1:40" ht="22" customHeight="1" x14ac:dyDescent="0.2">
      <c r="A9" s="131" t="str">
        <f>Schedule!C9</f>
        <v>Jane</v>
      </c>
      <c r="B9" s="131" t="str">
        <f>Schedule!D9</f>
        <v>Doe</v>
      </c>
      <c r="C9" s="132" t="str">
        <f>VLOOKUP(Schedule!E9,Schedule!$AP:$AQ,2,FALSE)</f>
        <v>OFF</v>
      </c>
      <c r="D9" s="132" t="str">
        <f>VLOOKUP(Schedule!F9,Schedule!$AP:$AQ,2,FALSE)</f>
        <v>OFF</v>
      </c>
      <c r="E9" s="132" t="str">
        <f>VLOOKUP(Schedule!G9,Schedule!$AP:$AQ,2,FALSE)</f>
        <v>Stop 7(2)</v>
      </c>
      <c r="F9" s="132" t="str">
        <f>VLOOKUP(Schedule!H9,Schedule!$AP:$AQ,2,FALSE)</f>
        <v xml:space="preserve">VC(1)/ Booth </v>
      </c>
      <c r="G9" s="132" t="str">
        <f>VLOOKUP(Schedule!I9,Schedule!$AP:$AQ,2,FALSE)</f>
        <v>OFF</v>
      </c>
      <c r="H9" s="132" t="str">
        <f>VLOOKUP(Schedule!J9,Schedule!$AP:$AQ,2,FALSE)</f>
        <v>OFF</v>
      </c>
      <c r="I9" s="132" t="str">
        <f>VLOOKUP(Schedule!K9,Schedule!$AP:$AQ,2,FALSE)</f>
        <v>5&amp;9(1)/ Stop 7</v>
      </c>
      <c r="J9" s="132" t="str">
        <f>VLOOKUP(Schedule!L9,Schedule!$AP:$AQ,2,FALSE)</f>
        <v>Stop 14(2)</v>
      </c>
      <c r="K9" s="132" t="str">
        <f>VLOOKUP(Schedule!M9,Schedule!$AP:$AQ,2,FALSE)</f>
        <v>OFF</v>
      </c>
      <c r="L9" s="132" t="str">
        <f>VLOOKUP(Schedule!N9,Schedule!$AP:$AQ,2,FALSE)</f>
        <v>OFF</v>
      </c>
      <c r="M9" s="132" t="str">
        <f>VLOOKUP(Schedule!O9,Schedule!$AP:$AQ,2,FALSE)</f>
        <v xml:space="preserve">Booth(2)/ VC </v>
      </c>
      <c r="N9" s="132" t="str">
        <f>VLOOKUP(Schedule!P9,Schedule!$AP:$AQ,2,FALSE)</f>
        <v xml:space="preserve">VC(2)/ Booth  </v>
      </c>
      <c r="O9" s="132" t="str">
        <f>VLOOKUP(Schedule!Q9,Schedule!$AP:$AQ,2,FALSE)</f>
        <v>Stop 14(2)</v>
      </c>
      <c r="P9" s="132" t="str">
        <f>VLOOKUP(Schedule!R9,Schedule!$AP:$AQ,2,FALSE)</f>
        <v xml:space="preserve">Booth(1)/ VC </v>
      </c>
      <c r="Q9" s="132" t="str">
        <f>VLOOKUP(Schedule!S9,Schedule!$AP:$AQ,2,FALSE)</f>
        <v>Art(1)/ Stop 7</v>
      </c>
      <c r="R9" s="132" t="str">
        <f>VLOOKUP(Schedule!T9,Schedule!$AP:$AQ,2,FALSE)</f>
        <v>OFF</v>
      </c>
      <c r="S9" s="132" t="str">
        <f>VLOOKUP(Schedule!U9,Schedule!$AP:$AQ,2,FALSE)</f>
        <v>OFF</v>
      </c>
      <c r="T9" s="132" t="str">
        <f>VLOOKUP(Schedule!V9,Schedule!$AP:$AQ,2,FALSE)</f>
        <v xml:space="preserve">VC(2)/ Booth  </v>
      </c>
      <c r="U9" s="132" t="str">
        <f>VLOOKUP(Schedule!W9,Schedule!$AP:$AQ,2,FALSE)</f>
        <v>Stop 7(2)/ 5&amp;9</v>
      </c>
      <c r="V9" s="132" t="str">
        <f>VLOOKUP(Schedule!X9,Schedule!$AP:$AQ,2,FALSE)</f>
        <v>OFF</v>
      </c>
      <c r="W9" s="132" t="str">
        <f>VLOOKUP(Schedule!Y9,Schedule!$AP:$AQ,2,FALSE)</f>
        <v>OFF</v>
      </c>
      <c r="X9" s="132" t="str">
        <f>VLOOKUP(Schedule!Z9,Schedule!$AP:$AQ,2,FALSE)</f>
        <v xml:space="preserve">Booth(2)/ VC </v>
      </c>
      <c r="Y9" s="132" t="str">
        <f>VLOOKUP(Schedule!AA9,Schedule!$AP:$AQ,2,FALSE)</f>
        <v>5&amp;9(1)/ Stop 7</v>
      </c>
      <c r="Z9" s="132" t="str">
        <f>VLOOKUP(Schedule!AB9,Schedule!$AP:$AQ,2,FALSE)</f>
        <v xml:space="preserve">Booth(1)/ VC </v>
      </c>
      <c r="AA9" s="132" t="str">
        <f>VLOOKUP(Schedule!AC9,Schedule!$AP:$AQ,2,FALSE)</f>
        <v>OFF</v>
      </c>
      <c r="AB9" s="132" t="str">
        <f>VLOOKUP(Schedule!AD9,Schedule!$AP:$AQ,2,FALSE)</f>
        <v>OFF</v>
      </c>
      <c r="AC9" s="132" t="str">
        <f>VLOOKUP(Schedule!AE9,Schedule!$AP:$AQ,2,FALSE)</f>
        <v>Stop 7(2)/ 5&amp;9</v>
      </c>
      <c r="AD9" s="132" t="str">
        <f>VLOOKUP(Schedule!AF9,Schedule!$AP:$AQ,2,FALSE)</f>
        <v>Art(1)/ Stop 7</v>
      </c>
      <c r="AE9" s="132" t="str">
        <f>VLOOKUP(Schedule!AG9,Schedule!$AP:$AQ,2,FALSE)</f>
        <v>Stop 14(2)</v>
      </c>
      <c r="AF9" s="132" t="str">
        <f>VLOOKUP(Schedule!AH9,Schedule!$AP:$AQ,2,FALSE)</f>
        <v>OFF</v>
      </c>
      <c r="AG9" s="132" t="str">
        <f>VLOOKUP(Schedule!AI9,Schedule!$AP:$AQ,2,FALSE)</f>
        <v>Stop 7(2)</v>
      </c>
      <c r="AH9" s="132" t="str">
        <f>VLOOKUP(Schedule!AJ9,Schedule!$AP:$AQ,2,FALSE)</f>
        <v>Stop 14(2)</v>
      </c>
      <c r="AI9" s="132" t="str">
        <f>VLOOKUP(Schedule!AK9,Schedule!$AP:$AQ,2,FALSE)</f>
        <v>Stop 14(2)</v>
      </c>
      <c r="AJ9" s="132" t="str">
        <f>VLOOKUP(Schedule!AL9,Schedule!$AP:$AQ,2,FALSE)</f>
        <v>OFF</v>
      </c>
    </row>
    <row r="10" spans="1:40" ht="22" customHeight="1" x14ac:dyDescent="0.2">
      <c r="A10" s="131" t="str">
        <f>Schedule!C10</f>
        <v>Jane</v>
      </c>
      <c r="B10" s="131" t="str">
        <f>Schedule!D10</f>
        <v>Doe</v>
      </c>
      <c r="C10" s="132" t="str">
        <f>VLOOKUP(Schedule!E10,Schedule!$AP:$AQ,2,FALSE)</f>
        <v xml:space="preserve">VC(1)/ Booth </v>
      </c>
      <c r="D10" s="132" t="str">
        <f>VLOOKUP(Schedule!F10,Schedule!$AP:$AQ,2,FALSE)</f>
        <v xml:space="preserve">Booth(2)/ VC </v>
      </c>
      <c r="E10" s="132" t="str">
        <f>VLOOKUP(Schedule!G10,Schedule!$AP:$AQ,2,FALSE)</f>
        <v>Art(1)/ Stop 7</v>
      </c>
      <c r="F10" s="132" t="str">
        <f>VLOOKUP(Schedule!H10,Schedule!$AP:$AQ,2,FALSE)</f>
        <v>Stop 14(2)</v>
      </c>
      <c r="G10" s="132" t="str">
        <f>VLOOKUP(Schedule!I10,Schedule!$AP:$AQ,2,FALSE)</f>
        <v>OFF</v>
      </c>
      <c r="H10" s="132" t="str">
        <f>VLOOKUP(Schedule!J10,Schedule!$AP:$AQ,2,FALSE)</f>
        <v>5&amp;9(1)/ Stop 7</v>
      </c>
      <c r="I10" s="132" t="str">
        <f>VLOOKUP(Schedule!K10,Schedule!$AP:$AQ,2,FALSE)</f>
        <v>Stop 7(2)/ 5&amp;9</v>
      </c>
      <c r="J10" s="132" t="str">
        <f>VLOOKUP(Schedule!L10,Schedule!$AP:$AQ,2,FALSE)</f>
        <v>OFF</v>
      </c>
      <c r="K10" s="132" t="str">
        <f>VLOOKUP(Schedule!M10,Schedule!$AP:$AQ,2,FALSE)</f>
        <v>OFF</v>
      </c>
      <c r="L10" s="132" t="str">
        <f>VLOOKUP(Schedule!N10,Schedule!$AP:$AQ,2,FALSE)</f>
        <v xml:space="preserve">Booth(1)/ VC </v>
      </c>
      <c r="M10" s="132" t="str">
        <f>VLOOKUP(Schedule!O10,Schedule!$AP:$AQ,2,FALSE)</f>
        <v>Stop 14(2)</v>
      </c>
      <c r="N10" s="132" t="str">
        <f>VLOOKUP(Schedule!P10,Schedule!$AP:$AQ,2,FALSE)</f>
        <v>OFF</v>
      </c>
      <c r="O10" s="132" t="str">
        <f>VLOOKUP(Schedule!Q10,Schedule!$AP:$AQ,2,FALSE)</f>
        <v>OFF</v>
      </c>
      <c r="P10" s="132" t="str">
        <f>VLOOKUP(Schedule!R10,Schedule!$AP:$AQ,2,FALSE)</f>
        <v xml:space="preserve">VC(2)/ Booth  </v>
      </c>
      <c r="Q10" s="132" t="str">
        <f>VLOOKUP(Schedule!S10,Schedule!$AP:$AQ,2,FALSE)</f>
        <v>Stop 7(2)/ 5&amp;9</v>
      </c>
      <c r="R10" s="132" t="str">
        <f>VLOOKUP(Schedule!T10,Schedule!$AP:$AQ,2,FALSE)</f>
        <v>OFF</v>
      </c>
      <c r="S10" s="132" t="str">
        <f>VLOOKUP(Schedule!U10,Schedule!$AP:$AQ,2,FALSE)</f>
        <v>Stop 7(2)</v>
      </c>
      <c r="T10" s="132" t="str">
        <f>VLOOKUP(Schedule!V10,Schedule!$AP:$AQ,2,FALSE)</f>
        <v>Art(1)/ Stop 7</v>
      </c>
      <c r="U10" s="132" t="str">
        <f>VLOOKUP(Schedule!W10,Schedule!$AP:$AQ,2,FALSE)</f>
        <v>OFF</v>
      </c>
      <c r="V10" s="132" t="str">
        <f>VLOOKUP(Schedule!X10,Schedule!$AP:$AQ,2,FALSE)</f>
        <v>OFF</v>
      </c>
      <c r="W10" s="132" t="str">
        <f>VLOOKUP(Schedule!Y10,Schedule!$AP:$AQ,2,FALSE)</f>
        <v>Stop 14(2)</v>
      </c>
      <c r="X10" s="132" t="str">
        <f>VLOOKUP(Schedule!Z10,Schedule!$AP:$AQ,2,FALSE)</f>
        <v>Stop 7(2)</v>
      </c>
      <c r="Y10" s="132" t="str">
        <f>VLOOKUP(Schedule!AA10,Schedule!$AP:$AQ,2,FALSE)</f>
        <v>OFF</v>
      </c>
      <c r="Z10" s="132" t="str">
        <f>VLOOKUP(Schedule!AB10,Schedule!$AP:$AQ,2,FALSE)</f>
        <v>OFF</v>
      </c>
      <c r="AA10" s="132" t="str">
        <f>VLOOKUP(Schedule!AC10,Schedule!$AP:$AQ,2,FALSE)</f>
        <v xml:space="preserve">VC(2)/ Booth  </v>
      </c>
      <c r="AB10" s="132" t="str">
        <f>VLOOKUP(Schedule!AD10,Schedule!$AP:$AQ,2,FALSE)</f>
        <v>5&amp;9(1)/ Stop 7</v>
      </c>
      <c r="AC10" s="132" t="str">
        <f>VLOOKUP(Schedule!AE10,Schedule!$AP:$AQ,2,FALSE)</f>
        <v xml:space="preserve">VC(1)/ Booth </v>
      </c>
      <c r="AD10" s="132" t="str">
        <f>VLOOKUP(Schedule!AF10,Schedule!$AP:$AQ,2,FALSE)</f>
        <v>OFF</v>
      </c>
      <c r="AE10" s="132" t="str">
        <f>VLOOKUP(Schedule!AG10,Schedule!$AP:$AQ,2,FALSE)</f>
        <v>OFF</v>
      </c>
      <c r="AF10" s="132" t="str">
        <f>VLOOKUP(Schedule!AH10,Schedule!$AP:$AQ,2,FALSE)</f>
        <v xml:space="preserve">Booth(2)/ VC </v>
      </c>
      <c r="AG10" s="132" t="str">
        <f>VLOOKUP(Schedule!AI10,Schedule!$AP:$AQ,2,FALSE)</f>
        <v>Stop 14(2)</v>
      </c>
      <c r="AH10" s="132" t="str">
        <f>VLOOKUP(Schedule!AJ10,Schedule!$AP:$AQ,2,FALSE)</f>
        <v>OFF</v>
      </c>
      <c r="AI10" s="132" t="str">
        <f>VLOOKUP(Schedule!AK10,Schedule!$AP:$AQ,2,FALSE)</f>
        <v>OFF</v>
      </c>
      <c r="AJ10" s="132" t="str">
        <f>VLOOKUP(Schedule!AL10,Schedule!$AP:$AQ,2,FALSE)</f>
        <v>Stop 14(2)</v>
      </c>
    </row>
    <row r="11" spans="1:40" ht="22" customHeight="1" x14ac:dyDescent="0.2">
      <c r="A11" s="131" t="str">
        <f>Schedule!C11</f>
        <v>Jane</v>
      </c>
      <c r="B11" s="131" t="str">
        <f>Schedule!D11</f>
        <v>Doe</v>
      </c>
      <c r="C11" s="132" t="str">
        <f>VLOOKUP(Schedule!E11,Schedule!$AP:$AQ,2,FALSE)</f>
        <v>OFF</v>
      </c>
      <c r="D11" s="132" t="str">
        <f>VLOOKUP(Schedule!F11,Schedule!$AP:$AQ,2,FALSE)</f>
        <v>OFF</v>
      </c>
      <c r="E11" s="132" t="str">
        <f>VLOOKUP(Schedule!G11,Schedule!$AP:$AQ,2,FALSE)</f>
        <v>Stop 14(2)</v>
      </c>
      <c r="F11" s="132" t="str">
        <f>VLOOKUP(Schedule!H11,Schedule!$AP:$AQ,2,FALSE)</f>
        <v>Stop 7(2)</v>
      </c>
      <c r="G11" s="132" t="str">
        <f>VLOOKUP(Schedule!I11,Schedule!$AP:$AQ,2,FALSE)</f>
        <v>OFF</v>
      </c>
      <c r="H11" s="132" t="str">
        <f>VLOOKUP(Schedule!J11,Schedule!$AP:$AQ,2,FALSE)</f>
        <v>OFF</v>
      </c>
      <c r="I11" s="132" t="str">
        <f>VLOOKUP(Schedule!K11,Schedule!$AP:$AQ,2,FALSE)</f>
        <v xml:space="preserve">Booth(2)/ VC </v>
      </c>
      <c r="J11" s="132" t="str">
        <f>VLOOKUP(Schedule!L11,Schedule!$AP:$AQ,2,FALSE)</f>
        <v xml:space="preserve">VC(2)/ Booth  </v>
      </c>
      <c r="K11" s="132" t="str">
        <f>VLOOKUP(Schedule!M11,Schedule!$AP:$AQ,2,FALSE)</f>
        <v>Stop 14(2)</v>
      </c>
      <c r="L11" s="132" t="str">
        <f>VLOOKUP(Schedule!N11,Schedule!$AP:$AQ,2,FALSE)</f>
        <v>OFF</v>
      </c>
      <c r="M11" s="132" t="str">
        <f>VLOOKUP(Schedule!O11,Schedule!$AP:$AQ,2,FALSE)</f>
        <v>OFF</v>
      </c>
      <c r="N11" s="132" t="str">
        <f>VLOOKUP(Schedule!P11,Schedule!$AP:$AQ,2,FALSE)</f>
        <v>5&amp;9(1)/ Stop 7</v>
      </c>
      <c r="O11" s="132" t="str">
        <f>VLOOKUP(Schedule!Q11,Schedule!$AP:$AQ,2,FALSE)</f>
        <v xml:space="preserve">Booth(1)/ VC </v>
      </c>
      <c r="P11" s="132" t="str">
        <f>VLOOKUP(Schedule!R11,Schedule!$AP:$AQ,2,FALSE)</f>
        <v>OFF</v>
      </c>
      <c r="Q11" s="132" t="str">
        <f>VLOOKUP(Schedule!S11,Schedule!$AP:$AQ,2,FALSE)</f>
        <v>OFF</v>
      </c>
      <c r="R11" s="132" t="str">
        <f>VLOOKUP(Schedule!T11,Schedule!$AP:$AQ,2,FALSE)</f>
        <v xml:space="preserve">VC(1)/ Booth </v>
      </c>
      <c r="S11" s="132" t="str">
        <f>VLOOKUP(Schedule!U11,Schedule!$AP:$AQ,2,FALSE)</f>
        <v>Art(1)/ Stop 7</v>
      </c>
      <c r="T11" s="132" t="str">
        <f>VLOOKUP(Schedule!V11,Schedule!$AP:$AQ,2,FALSE)</f>
        <v>OFF</v>
      </c>
      <c r="U11" s="132" t="str">
        <f>VLOOKUP(Schedule!W11,Schedule!$AP:$AQ,2,FALSE)</f>
        <v>OFF</v>
      </c>
      <c r="V11" s="132" t="str">
        <f>VLOOKUP(Schedule!X11,Schedule!$AP:$AQ,2,FALSE)</f>
        <v>Stop 7(2)/ 5&amp;9</v>
      </c>
      <c r="W11" s="132" t="str">
        <f>VLOOKUP(Schedule!Y11,Schedule!$AP:$AQ,2,FALSE)</f>
        <v xml:space="preserve">VC(2)/ Booth  </v>
      </c>
      <c r="X11" s="132" t="str">
        <f>VLOOKUP(Schedule!Z11,Schedule!$AP:$AQ,2,FALSE)</f>
        <v>OFF</v>
      </c>
      <c r="Y11" s="132" t="str">
        <f>VLOOKUP(Schedule!AA11,Schedule!$AP:$AQ,2,FALSE)</f>
        <v>OFF</v>
      </c>
      <c r="Z11" s="132" t="str">
        <f>VLOOKUP(Schedule!AB11,Schedule!$AP:$AQ,2,FALSE)</f>
        <v>Stop 14(2)</v>
      </c>
      <c r="AA11" s="132" t="str">
        <f>VLOOKUP(Schedule!AC11,Schedule!$AP:$AQ,2,FALSE)</f>
        <v xml:space="preserve">VC(1)/ Booth </v>
      </c>
      <c r="AB11" s="132" t="str">
        <f>VLOOKUP(Schedule!AD11,Schedule!$AP:$AQ,2,FALSE)</f>
        <v>OFF</v>
      </c>
      <c r="AC11" s="132" t="str">
        <f>VLOOKUP(Schedule!AE11,Schedule!$AP:$AQ,2,FALSE)</f>
        <v>OFF</v>
      </c>
      <c r="AD11" s="132" t="str">
        <f>VLOOKUP(Schedule!AF11,Schedule!$AP:$AQ,2,FALSE)</f>
        <v xml:space="preserve">Booth(2)/ VC </v>
      </c>
      <c r="AE11" s="132" t="str">
        <f>VLOOKUP(Schedule!AG11,Schedule!$AP:$AQ,2,FALSE)</f>
        <v>Stop 7(2)/ 5&amp;9</v>
      </c>
      <c r="AF11" s="132" t="str">
        <f>VLOOKUP(Schedule!AH11,Schedule!$AP:$AQ,2,FALSE)</f>
        <v>OFF</v>
      </c>
      <c r="AG11" s="132" t="str">
        <f>VLOOKUP(Schedule!AI11,Schedule!$AP:$AQ,2,FALSE)</f>
        <v>OFF</v>
      </c>
      <c r="AH11" s="132" t="str">
        <f>VLOOKUP(Schedule!AJ11,Schedule!$AP:$AQ,2,FALSE)</f>
        <v xml:space="preserve">Booth(1)/ VC </v>
      </c>
      <c r="AI11" s="132" t="str">
        <f>VLOOKUP(Schedule!AK11,Schedule!$AP:$AQ,2,FALSE)</f>
        <v>Stop 7(2)/ 5&amp;9</v>
      </c>
      <c r="AJ11" s="132" t="str">
        <f>VLOOKUP(Schedule!AL11,Schedule!$AP:$AQ,2,FALSE)</f>
        <v>OFF</v>
      </c>
    </row>
    <row r="12" spans="1:40" ht="22" customHeight="1" x14ac:dyDescent="0.2">
      <c r="A12" s="131" t="str">
        <f>Schedule!C12</f>
        <v>Jane</v>
      </c>
      <c r="B12" s="131" t="str">
        <f>Schedule!D12</f>
        <v>Doe</v>
      </c>
      <c r="C12" s="132" t="str">
        <f>VLOOKUP(Schedule!E13,Schedule!$AP:$AQ,2,FALSE)</f>
        <v>OFF</v>
      </c>
      <c r="D12" s="132" t="str">
        <f>VLOOKUP(Schedule!F13,Schedule!$AP:$AQ,2,FALSE)</f>
        <v>OFF</v>
      </c>
      <c r="E12" s="132" t="str">
        <f>VLOOKUP(Schedule!G13,Schedule!$AP:$AQ,2,FALSE)</f>
        <v xml:space="preserve">Booth(2)/ VC </v>
      </c>
      <c r="F12" s="132" t="str">
        <f>VLOOKUP(Schedule!H13,Schedule!$AP:$AQ,2,FALSE)</f>
        <v>5&amp;9(1)/ Stop 7</v>
      </c>
      <c r="G12" s="132" t="str">
        <f>VLOOKUP(Schedule!I13,Schedule!$AP:$AQ,2,FALSE)</f>
        <v>OFF</v>
      </c>
      <c r="H12" s="132" t="str">
        <f>VLOOKUP(Schedule!J13,Schedule!$AP:$AQ,2,FALSE)</f>
        <v>OFF</v>
      </c>
      <c r="I12" s="132" t="str">
        <f>VLOOKUP(Schedule!K13,Schedule!$AP:$AQ,2,FALSE)</f>
        <v xml:space="preserve">VC(2)/ Booth  </v>
      </c>
      <c r="J12" s="132" t="str">
        <f>VLOOKUP(Schedule!L13,Schedule!$AP:$AQ,2,FALSE)</f>
        <v>5&amp;9(1)/ Stop 7</v>
      </c>
      <c r="K12" s="132" t="str">
        <f>VLOOKUP(Schedule!M13,Schedule!$AP:$AQ,2,FALSE)</f>
        <v>OFF</v>
      </c>
      <c r="L12" s="132" t="str">
        <f>VLOOKUP(Schedule!N13,Schedule!$AP:$AQ,2,FALSE)</f>
        <v>OFF</v>
      </c>
      <c r="M12" s="132" t="str">
        <f>VLOOKUP(Schedule!O13,Schedule!$AP:$AQ,2,FALSE)</f>
        <v>Art(1)/ Stop 7</v>
      </c>
      <c r="N12" s="132" t="str">
        <f>VLOOKUP(Schedule!P13,Schedule!$AP:$AQ,2,FALSE)</f>
        <v>Stop 7(2)/ 5&amp;9</v>
      </c>
      <c r="O12" s="132" t="str">
        <f>VLOOKUP(Schedule!Q13,Schedule!$AP:$AQ,2,FALSE)</f>
        <v>OFF</v>
      </c>
      <c r="P12" s="132" t="str">
        <f>VLOOKUP(Schedule!R13,Schedule!$AP:$AQ,2,FALSE)</f>
        <v>OFF</v>
      </c>
      <c r="Q12" s="132" t="str">
        <f>VLOOKUP(Schedule!S13,Schedule!$AP:$AQ,2,FALSE)</f>
        <v xml:space="preserve">VC(1)/ Booth </v>
      </c>
      <c r="R12" s="132" t="str">
        <f>VLOOKUP(Schedule!T13,Schedule!$AP:$AQ,2,FALSE)</f>
        <v>Stop 7(2)</v>
      </c>
      <c r="S12" s="132" t="str">
        <f>VLOOKUP(Schedule!U13,Schedule!$AP:$AQ,2,FALSE)</f>
        <v>OFF</v>
      </c>
      <c r="T12" s="132" t="str">
        <f>VLOOKUP(Schedule!V13,Schedule!$AP:$AQ,2,FALSE)</f>
        <v xml:space="preserve">Booth(1)/ VC </v>
      </c>
      <c r="U12" s="132" t="str">
        <f>VLOOKUP(Schedule!W13,Schedule!$AP:$AQ,2,FALSE)</f>
        <v>Stop 14(2)</v>
      </c>
      <c r="V12" s="132" t="str">
        <f>VLOOKUP(Schedule!X13,Schedule!$AP:$AQ,2,FALSE)</f>
        <v>OFF</v>
      </c>
      <c r="W12" s="132" t="str">
        <f>VLOOKUP(Schedule!Y13,Schedule!$AP:$AQ,2,FALSE)</f>
        <v>OFF</v>
      </c>
      <c r="X12" s="132" t="str">
        <f>VLOOKUP(Schedule!Z13,Schedule!$AP:$AQ,2,FALSE)</f>
        <v xml:space="preserve">VC(2)/ Booth  </v>
      </c>
      <c r="Y12" s="132" t="str">
        <f>VLOOKUP(Schedule!AA13,Schedule!$AP:$AQ,2,FALSE)</f>
        <v>Stop 14(2)</v>
      </c>
      <c r="Z12" s="132" t="str">
        <f>VLOOKUP(Schedule!AB13,Schedule!$AP:$AQ,2,FALSE)</f>
        <v>OFF</v>
      </c>
      <c r="AA12" s="132" t="str">
        <f>VLOOKUP(Schedule!AC13,Schedule!$AP:$AQ,2,FALSE)</f>
        <v>OFF</v>
      </c>
      <c r="AB12" s="132" t="str">
        <f>VLOOKUP(Schedule!AD13,Schedule!$AP:$AQ,2,FALSE)</f>
        <v xml:space="preserve">VC(1)/ Booth </v>
      </c>
      <c r="AC12" s="132" t="str">
        <f>VLOOKUP(Schedule!AE13,Schedule!$AP:$AQ,2,FALSE)</f>
        <v xml:space="preserve">Booth(2)/ VC </v>
      </c>
      <c r="AD12" s="132" t="str">
        <f>VLOOKUP(Schedule!AF13,Schedule!$AP:$AQ,2,FALSE)</f>
        <v>Stop 14(2)</v>
      </c>
      <c r="AE12" s="132" t="str">
        <f>VLOOKUP(Schedule!AG13,Schedule!$AP:$AQ,2,FALSE)</f>
        <v>OFF</v>
      </c>
      <c r="AF12" s="132" t="str">
        <f>VLOOKUP(Schedule!AH13,Schedule!$AP:$AQ,2,FALSE)</f>
        <v>OFF</v>
      </c>
      <c r="AG12" s="132" t="str">
        <f>VLOOKUP(Schedule!AI13,Schedule!$AP:$AQ,2,FALSE)</f>
        <v xml:space="preserve">Booth(1)/ VC </v>
      </c>
      <c r="AH12" s="132" t="str">
        <f>VLOOKUP(Schedule!AJ13,Schedule!$AP:$AQ,2,FALSE)</f>
        <v>Stop 7(2)</v>
      </c>
      <c r="AI12" s="132" t="str">
        <f>VLOOKUP(Schedule!AK13,Schedule!$AP:$AQ,2,FALSE)</f>
        <v>OFF</v>
      </c>
      <c r="AJ12" s="132" t="str">
        <f>VLOOKUP(Schedule!AL13,Schedule!$AP:$AQ,2,FALSE)</f>
        <v>Art(1)/ Stop 7</v>
      </c>
    </row>
    <row r="13" spans="1:40" ht="22" customHeight="1" x14ac:dyDescent="0.2">
      <c r="A13" s="131" t="str">
        <f>Schedule!C13</f>
        <v>Jane</v>
      </c>
      <c r="B13" s="131" t="str">
        <f>Schedule!D13</f>
        <v>Doe</v>
      </c>
      <c r="C13" s="132" t="str">
        <f>VLOOKUP(Schedule!E14,Schedule!$AP:$AQ,2,FALSE)</f>
        <v>Stop 7(2)</v>
      </c>
      <c r="D13" s="132" t="str">
        <f>VLOOKUP(Schedule!F14,Schedule!$AP:$AQ,2,FALSE)</f>
        <v xml:space="preserve">VC(2)/ Booth  </v>
      </c>
      <c r="E13" s="132" t="str">
        <f>VLOOKUP(Schedule!G14,Schedule!$AP:$AQ,2,FALSE)</f>
        <v>OFF</v>
      </c>
      <c r="F13" s="132" t="str">
        <f>VLOOKUP(Schedule!H14,Schedule!$AP:$AQ,2,FALSE)</f>
        <v>OFF</v>
      </c>
      <c r="G13" s="132" t="str">
        <f>VLOOKUP(Schedule!I14,Schedule!$AP:$AQ,2,FALSE)</f>
        <v xml:space="preserve">Booth(1)/ VC </v>
      </c>
      <c r="H13" s="132" t="str">
        <f>VLOOKUP(Schedule!J14,Schedule!$AP:$AQ,2,FALSE)</f>
        <v>Stop 14(2)</v>
      </c>
      <c r="I13" s="132" t="str">
        <f>VLOOKUP(Schedule!K14,Schedule!$AP:$AQ,2,FALSE)</f>
        <v>OFF</v>
      </c>
      <c r="J13" s="132" t="str">
        <f>VLOOKUP(Schedule!L14,Schedule!$AP:$AQ,2,FALSE)</f>
        <v>OFF</v>
      </c>
      <c r="K13" s="132" t="str">
        <f>VLOOKUP(Schedule!M14,Schedule!$AP:$AQ,2,FALSE)</f>
        <v>Art(1)/ Stop 7</v>
      </c>
      <c r="L13" s="132" t="str">
        <f>VLOOKUP(Schedule!N14,Schedule!$AP:$AQ,2,FALSE)</f>
        <v xml:space="preserve">VC(1)/ Booth </v>
      </c>
      <c r="M13" s="132" t="str">
        <f>VLOOKUP(Schedule!O14,Schedule!$AP:$AQ,2,FALSE)</f>
        <v>OFF</v>
      </c>
      <c r="N13" s="132" t="str">
        <f>VLOOKUP(Schedule!P14,Schedule!$AP:$AQ,2,FALSE)</f>
        <v>OFF</v>
      </c>
      <c r="O13" s="132" t="str">
        <f>VLOOKUP(Schedule!Q14,Schedule!$AP:$AQ,2,FALSE)</f>
        <v>Stop 7(2)/ 5&amp;9</v>
      </c>
      <c r="P13" s="132" t="str">
        <f>VLOOKUP(Schedule!R14,Schedule!$AP:$AQ,2,FALSE)</f>
        <v>5&amp;9(1)/ Stop 7</v>
      </c>
      <c r="Q13" s="132" t="str">
        <f>VLOOKUP(Schedule!S14,Schedule!$AP:$AQ,2,FALSE)</f>
        <v>Stop 14(2)</v>
      </c>
      <c r="R13" s="132" t="str">
        <f>VLOOKUP(Schedule!T14,Schedule!$AP:$AQ,2,FALSE)</f>
        <v>OFF</v>
      </c>
      <c r="S13" s="132" t="str">
        <f>VLOOKUP(Schedule!U14,Schedule!$AP:$AQ,2,FALSE)</f>
        <v>OFF</v>
      </c>
      <c r="T13" s="132" t="str">
        <f>VLOOKUP(Schedule!V14,Schedule!$AP:$AQ,2,FALSE)</f>
        <v xml:space="preserve">Booth(2)/ VC </v>
      </c>
      <c r="U13" s="132" t="str">
        <f>VLOOKUP(Schedule!W14,Schedule!$AP:$AQ,2,FALSE)</f>
        <v xml:space="preserve">VC(2)/ Booth  </v>
      </c>
      <c r="V13" s="132" t="str">
        <f>VLOOKUP(Schedule!X14,Schedule!$AP:$AQ,2,FALSE)</f>
        <v>OFF</v>
      </c>
      <c r="W13" s="132" t="str">
        <f>VLOOKUP(Schedule!Y14,Schedule!$AP:$AQ,2,FALSE)</f>
        <v xml:space="preserve">Booth(1)/ VC </v>
      </c>
      <c r="X13" s="132" t="str">
        <f>VLOOKUP(Schedule!Z14,Schedule!$AP:$AQ,2,FALSE)</f>
        <v>Stop 14(2)</v>
      </c>
      <c r="Y13" s="132" t="str">
        <f>VLOOKUP(Schedule!AA14,Schedule!$AP:$AQ,2,FALSE)</f>
        <v>OFF</v>
      </c>
      <c r="Z13" s="132" t="str">
        <f>VLOOKUP(Schedule!AB14,Schedule!$AP:$AQ,2,FALSE)</f>
        <v>OFF</v>
      </c>
      <c r="AA13" s="132" t="str">
        <f>VLOOKUP(Schedule!AC14,Schedule!$AP:$AQ,2,FALSE)</f>
        <v>Stop 7(2)/ 5&amp;9</v>
      </c>
      <c r="AB13" s="132" t="str">
        <f>VLOOKUP(Schedule!AD14,Schedule!$AP:$AQ,2,FALSE)</f>
        <v>Stop 14(2)</v>
      </c>
      <c r="AC13" s="132" t="str">
        <f>VLOOKUP(Schedule!AE14,Schedule!$AP:$AQ,2,FALSE)</f>
        <v>Art(1)/ Stop 7</v>
      </c>
      <c r="AD13" s="132" t="str">
        <f>VLOOKUP(Schedule!AF14,Schedule!$AP:$AQ,2,FALSE)</f>
        <v>OFF</v>
      </c>
      <c r="AE13" s="132" t="str">
        <f>VLOOKUP(Schedule!AG14,Schedule!$AP:$AQ,2,FALSE)</f>
        <v>OFF</v>
      </c>
      <c r="AF13" s="132" t="str">
        <f>VLOOKUP(Schedule!AH14,Schedule!$AP:$AQ,2,FALSE)</f>
        <v>OFF</v>
      </c>
      <c r="AG13" s="132" t="str">
        <f>VLOOKUP(Schedule!AI14,Schedule!$AP:$AQ,2,FALSE)</f>
        <v xml:space="preserve">VC(1)/ Booth </v>
      </c>
      <c r="AH13" s="132" t="str">
        <f>VLOOKUP(Schedule!AJ14,Schedule!$AP:$AQ,2,FALSE)</f>
        <v>5&amp;9(1)/ Stop 7</v>
      </c>
      <c r="AI13" s="132" t="str">
        <f>VLOOKUP(Schedule!AK14,Schedule!$AP:$AQ,2,FALSE)</f>
        <v>OFF</v>
      </c>
      <c r="AJ13" s="132" t="str">
        <f>VLOOKUP(Schedule!AL14,Schedule!$AP:$AQ,2,FALSE)</f>
        <v>OFF</v>
      </c>
    </row>
    <row r="14" spans="1:40" ht="22" customHeight="1" x14ac:dyDescent="0.2">
      <c r="A14" s="131" t="str">
        <f>Schedule!C14</f>
        <v>Jane</v>
      </c>
      <c r="B14" s="131" t="str">
        <f>Schedule!D14</f>
        <v>Doe</v>
      </c>
      <c r="C14" s="132" t="str">
        <f>VLOOKUP(Schedule!E15,Schedule!$AP:$AQ,2,FALSE)</f>
        <v>OFF</v>
      </c>
      <c r="D14" s="132" t="str">
        <f>VLOOKUP(Schedule!F15,Schedule!$AP:$AQ,2,FALSE)</f>
        <v>OFF</v>
      </c>
      <c r="E14" s="132" t="str">
        <f>VLOOKUP(Schedule!G15,Schedule!$AP:$AQ,2,FALSE)</f>
        <v xml:space="preserve">VC(2)/ Booth  </v>
      </c>
      <c r="F14" s="132" t="str">
        <f>VLOOKUP(Schedule!H15,Schedule!$AP:$AQ,2,FALSE)</f>
        <v>OFF</v>
      </c>
      <c r="G14" s="132" t="str">
        <f>VLOOKUP(Schedule!I15,Schedule!$AP:$AQ,2,FALSE)</f>
        <v>OFF</v>
      </c>
      <c r="H14" s="132" t="str">
        <f>VLOOKUP(Schedule!J15,Schedule!$AP:$AQ,2,FALSE)</f>
        <v xml:space="preserve">VC(1)/ Booth </v>
      </c>
      <c r="I14" s="132" t="str">
        <f>VLOOKUP(Schedule!K15,Schedule!$AP:$AQ,2,FALSE)</f>
        <v>Stop 14(2)</v>
      </c>
      <c r="J14" s="132" t="str">
        <f>VLOOKUP(Schedule!L15,Schedule!$AP:$AQ,2,FALSE)</f>
        <v>Stop 7(2)/ 5&amp;9</v>
      </c>
      <c r="K14" s="132" t="str">
        <f>VLOOKUP(Schedule!M15,Schedule!$AP:$AQ,2,FALSE)</f>
        <v>OFF</v>
      </c>
      <c r="L14" s="132" t="str">
        <f>VLOOKUP(Schedule!N15,Schedule!$AP:$AQ,2,FALSE)</f>
        <v>OFF</v>
      </c>
      <c r="M14" s="132" t="str">
        <f>VLOOKUP(Schedule!O15,Schedule!$AP:$AQ,2,FALSE)</f>
        <v xml:space="preserve">Booth(1)/ VC </v>
      </c>
      <c r="N14" s="132" t="str">
        <f>VLOOKUP(Schedule!P15,Schedule!$AP:$AQ,2,FALSE)</f>
        <v>Stop 7(2)</v>
      </c>
      <c r="O14" s="132" t="str">
        <f>VLOOKUP(Schedule!Q15,Schedule!$AP:$AQ,2,FALSE)</f>
        <v>OFF</v>
      </c>
      <c r="P14" s="132" t="str">
        <f>VLOOKUP(Schedule!R15,Schedule!$AP:$AQ,2,FALSE)</f>
        <v>OFF</v>
      </c>
      <c r="Q14" s="132" t="str">
        <f>VLOOKUP(Schedule!S15,Schedule!$AP:$AQ,2,FALSE)</f>
        <v xml:space="preserve">Booth(2)/ VC </v>
      </c>
      <c r="R14" s="132" t="str">
        <f>VLOOKUP(Schedule!T15,Schedule!$AP:$AQ,2,FALSE)</f>
        <v>5&amp;9(1)/ Stop 7</v>
      </c>
      <c r="S14" s="132" t="str">
        <f>VLOOKUP(Schedule!U15,Schedule!$AP:$AQ,2,FALSE)</f>
        <v>Stop 14(2)</v>
      </c>
      <c r="T14" s="132" t="str">
        <f>VLOOKUP(Schedule!V15,Schedule!$AP:$AQ,2,FALSE)</f>
        <v>OFF</v>
      </c>
      <c r="U14" s="132" t="str">
        <f>VLOOKUP(Schedule!W15,Schedule!$AP:$AQ,2,FALSE)</f>
        <v>OFF</v>
      </c>
      <c r="V14" s="132" t="str">
        <f>VLOOKUP(Schedule!X15,Schedule!$AP:$AQ,2,FALSE)</f>
        <v>Art(1)/ Stop 7</v>
      </c>
      <c r="W14" s="132" t="str">
        <f>VLOOKUP(Schedule!Y15,Schedule!$AP:$AQ,2,FALSE)</f>
        <v>Stop 7(2)</v>
      </c>
      <c r="X14" s="132" t="str">
        <f>VLOOKUP(Schedule!Z15,Schedule!$AP:$AQ,2,FALSE)</f>
        <v>Stop 14(2)</v>
      </c>
      <c r="Y14" s="132" t="str">
        <f>VLOOKUP(Schedule!AA15,Schedule!$AP:$AQ,2,FALSE)</f>
        <v>OFF</v>
      </c>
      <c r="Z14" s="132" t="str">
        <f>VLOOKUP(Schedule!AB15,Schedule!$AP:$AQ,2,FALSE)</f>
        <v xml:space="preserve">Booth(2)/ VC </v>
      </c>
      <c r="AA14" s="132" t="str">
        <f>VLOOKUP(Schedule!AC15,Schedule!$AP:$AQ,2,FALSE)</f>
        <v>5&amp;9(1)/ Stop 7</v>
      </c>
      <c r="AB14" s="132" t="str">
        <f>VLOOKUP(Schedule!AD15,Schedule!$AP:$AQ,2,FALSE)</f>
        <v xml:space="preserve">Booth(1)/ VC </v>
      </c>
      <c r="AC14" s="132" t="str">
        <f>VLOOKUP(Schedule!AE15,Schedule!$AP:$AQ,2,FALSE)</f>
        <v>OFF</v>
      </c>
      <c r="AD14" s="132" t="str">
        <f>VLOOKUP(Schedule!AF15,Schedule!$AP:$AQ,2,FALSE)</f>
        <v>OFF</v>
      </c>
      <c r="AE14" s="132" t="str">
        <f>VLOOKUP(Schedule!AG15,Schedule!$AP:$AQ,2,FALSE)</f>
        <v>Art(1)/ Stop 7</v>
      </c>
      <c r="AF14" s="132" t="str">
        <f>VLOOKUP(Schedule!AH15,Schedule!$AP:$AQ,2,FALSE)</f>
        <v xml:space="preserve">VC(2)/ Booth  </v>
      </c>
      <c r="AG14" s="132" t="str">
        <f>VLOOKUP(Schedule!AI15,Schedule!$AP:$AQ,2,FALSE)</f>
        <v>OFF</v>
      </c>
      <c r="AH14" s="132" t="str">
        <f>VLOOKUP(Schedule!AJ15,Schedule!$AP:$AQ,2,FALSE)</f>
        <v>OFF</v>
      </c>
      <c r="AI14" s="132" t="str">
        <f>VLOOKUP(Schedule!AK15,Schedule!$AP:$AQ,2,FALSE)</f>
        <v xml:space="preserve">VC(1)/ Booth </v>
      </c>
      <c r="AJ14" s="132" t="str">
        <f>VLOOKUP(Schedule!AL15,Schedule!$AP:$AQ,2,FALSE)</f>
        <v>Stop 7(2)/ 5&amp;9</v>
      </c>
    </row>
    <row r="15" spans="1:40" ht="22" customHeight="1" x14ac:dyDescent="0.2">
      <c r="A15" s="131" t="str">
        <f>Schedule!C15</f>
        <v>Jane</v>
      </c>
      <c r="B15" s="131" t="str">
        <f>Schedule!D15</f>
        <v>Doe</v>
      </c>
      <c r="C15" s="132" t="str">
        <f>VLOOKUP(Schedule!E16,Schedule!$AP:$AQ,2,FALSE)</f>
        <v>Stop 7(2)/ 5&amp;9</v>
      </c>
      <c r="D15" s="132" t="str">
        <f>VLOOKUP(Schedule!F16,Schedule!$AP:$AQ,2,FALSE)</f>
        <v>Stop 7(2)</v>
      </c>
      <c r="E15" s="132" t="str">
        <f>VLOOKUP(Schedule!G16,Schedule!$AP:$AQ,2,FALSE)</f>
        <v>OFF</v>
      </c>
      <c r="F15" s="132" t="str">
        <f>VLOOKUP(Schedule!H16,Schedule!$AP:$AQ,2,FALSE)</f>
        <v>OFF</v>
      </c>
      <c r="G15" s="132" t="str">
        <f>VLOOKUP(Schedule!I16,Schedule!$AP:$AQ,2,FALSE)</f>
        <v>Stop 14(2)</v>
      </c>
      <c r="H15" s="132" t="str">
        <f>VLOOKUP(Schedule!J16,Schedule!$AP:$AQ,2,FALSE)</f>
        <v xml:space="preserve">Booth(2)/ VC </v>
      </c>
      <c r="I15" s="132" t="str">
        <f>VLOOKUP(Schedule!K16,Schedule!$AP:$AQ,2,FALSE)</f>
        <v>OFF</v>
      </c>
      <c r="J15" s="132" t="str">
        <f>VLOOKUP(Schedule!L16,Schedule!$AP:$AQ,2,FALSE)</f>
        <v>OFF</v>
      </c>
      <c r="K15" s="132" t="str">
        <f>VLOOKUP(Schedule!M16,Schedule!$AP:$AQ,2,FALSE)</f>
        <v xml:space="preserve">Booth(1)/ VC </v>
      </c>
      <c r="L15" s="132" t="str">
        <f>VLOOKUP(Schedule!N16,Schedule!$AP:$AQ,2,FALSE)</f>
        <v>Art(1)/ Stop 7</v>
      </c>
      <c r="M15" s="132" t="str">
        <f>VLOOKUP(Schedule!O16,Schedule!$AP:$AQ,2,FALSE)</f>
        <v xml:space="preserve">VC(2)/ Booth  </v>
      </c>
      <c r="N15" s="132" t="str">
        <f>VLOOKUP(Schedule!P16,Schedule!$AP:$AQ,2,FALSE)</f>
        <v>Stop 14(2)</v>
      </c>
      <c r="O15" s="132" t="str">
        <f>VLOOKUP(Schedule!Q16,Schedule!$AP:$AQ,2,FALSE)</f>
        <v>OFF</v>
      </c>
      <c r="P15" s="132" t="str">
        <f>VLOOKUP(Schedule!R16,Schedule!$AP:$AQ,2,FALSE)</f>
        <v>Stop 14(2)</v>
      </c>
      <c r="Q15" s="132" t="str">
        <f>VLOOKUP(Schedule!S16,Schedule!$AP:$AQ,2,FALSE)</f>
        <v>5&amp;9(1)/ Stop 7</v>
      </c>
      <c r="R15" s="132" t="str">
        <f>VLOOKUP(Schedule!T16,Schedule!$AP:$AQ,2,FALSE)</f>
        <v>OFF</v>
      </c>
      <c r="S15" s="132" t="str">
        <f>VLOOKUP(Schedule!U16,Schedule!$AP:$AQ,2,FALSE)</f>
        <v>OFF</v>
      </c>
      <c r="T15" s="132" t="str">
        <f>VLOOKUP(Schedule!V16,Schedule!$AP:$AQ,2,FALSE)</f>
        <v xml:space="preserve">VC(1)/ Booth </v>
      </c>
      <c r="U15" s="132" t="str">
        <f>VLOOKUP(Schedule!W16,Schedule!$AP:$AQ,2,FALSE)</f>
        <v>Art(1)/ Stop 7</v>
      </c>
      <c r="V15" s="132" t="str">
        <f>VLOOKUP(Schedule!X16,Schedule!$AP:$AQ,2,FALSE)</f>
        <v>OFF</v>
      </c>
      <c r="W15" s="132" t="str">
        <f>VLOOKUP(Schedule!Y16,Schedule!$AP:$AQ,2,FALSE)</f>
        <v>OFF</v>
      </c>
      <c r="X15" s="132" t="str">
        <f>VLOOKUP(Schedule!Z16,Schedule!$AP:$AQ,2,FALSE)</f>
        <v>Stop 7(2)/ 5&amp;9</v>
      </c>
      <c r="Y15" s="132" t="str">
        <f>VLOOKUP(Schedule!AA16,Schedule!$AP:$AQ,2,FALSE)</f>
        <v xml:space="preserve">VC(2)/ Booth  </v>
      </c>
      <c r="Z15" s="132" t="str">
        <f>VLOOKUP(Schedule!AB16,Schedule!$AP:$AQ,2,FALSE)</f>
        <v>OFF</v>
      </c>
      <c r="AA15" s="132" t="str">
        <f>VLOOKUP(Schedule!AC16,Schedule!$AP:$AQ,2,FALSE)</f>
        <v>OFF</v>
      </c>
      <c r="AB15" s="132" t="str">
        <f>VLOOKUP(Schedule!AD16,Schedule!$AP:$AQ,2,FALSE)</f>
        <v>Stop 7(2)</v>
      </c>
      <c r="AC15" s="132" t="str">
        <f>VLOOKUP(Schedule!AE16,Schedule!$AP:$AQ,2,FALSE)</f>
        <v>5&amp;9(1)/ Stop 7</v>
      </c>
      <c r="AD15" s="132" t="str">
        <f>VLOOKUP(Schedule!AF16,Schedule!$AP:$AQ,2,FALSE)</f>
        <v>OFF</v>
      </c>
      <c r="AE15" s="132" t="str">
        <f>VLOOKUP(Schedule!AG16,Schedule!$AP:$AQ,2,FALSE)</f>
        <v>OFF</v>
      </c>
      <c r="AF15" s="132" t="str">
        <f>VLOOKUP(Schedule!AH16,Schedule!$AP:$AQ,2,FALSE)</f>
        <v>Stop 14(2)</v>
      </c>
      <c r="AG15" s="132" t="str">
        <f>VLOOKUP(Schedule!AI16,Schedule!$AP:$AQ,2,FALSE)</f>
        <v xml:space="preserve">Booth(2)/ VC </v>
      </c>
      <c r="AH15" s="132" t="str">
        <f>VLOOKUP(Schedule!AJ16,Schedule!$AP:$AQ,2,FALSE)</f>
        <v>OFF</v>
      </c>
      <c r="AI15" s="132" t="str">
        <f>VLOOKUP(Schedule!AK16,Schedule!$AP:$AQ,2,FALSE)</f>
        <v>OFF</v>
      </c>
      <c r="AJ15" s="132" t="str">
        <f>VLOOKUP(Schedule!AL16,Schedule!$AP:$AQ,2,FALSE)</f>
        <v xml:space="preserve">VC(1)/ Booth </v>
      </c>
    </row>
    <row r="16" spans="1:40" ht="22" customHeight="1" x14ac:dyDescent="0.2">
      <c r="A16" s="131" t="str">
        <f>Schedule!C16</f>
        <v>Jane</v>
      </c>
      <c r="B16" s="131" t="str">
        <f>Schedule!D16</f>
        <v>Doe</v>
      </c>
      <c r="C16" s="132" t="str">
        <f>VLOOKUP(Schedule!E17,Schedule!$AP:$AQ,2,FALSE)</f>
        <v>OFF</v>
      </c>
      <c r="D16" s="132" t="str">
        <f>VLOOKUP(Schedule!F17,Schedule!$AP:$AQ,2,FALSE)</f>
        <v>OFF</v>
      </c>
      <c r="E16" s="132" t="str">
        <f>VLOOKUP(Schedule!G17,Schedule!$AP:$AQ,2,FALSE)</f>
        <v>Stop 7(2)/ 5&amp;9</v>
      </c>
      <c r="F16" s="132" t="str">
        <f>VLOOKUP(Schedule!H17,Schedule!$AP:$AQ,2,FALSE)</f>
        <v xml:space="preserve">VC(2)/ Booth  </v>
      </c>
      <c r="G16" s="132" t="str">
        <f>VLOOKUP(Schedule!I17,Schedule!$AP:$AQ,2,FALSE)</f>
        <v xml:space="preserve">VC(1)/ Booth </v>
      </c>
      <c r="H16" s="132" t="str">
        <f>VLOOKUP(Schedule!J17,Schedule!$AP:$AQ,2,FALSE)</f>
        <v>OFF</v>
      </c>
      <c r="I16" s="132" t="str">
        <f>VLOOKUP(Schedule!K17,Schedule!$AP:$AQ,2,FALSE)</f>
        <v>OFF</v>
      </c>
      <c r="J16" s="132" t="str">
        <f>VLOOKUP(Schedule!L17,Schedule!$AP:$AQ,2,FALSE)</f>
        <v xml:space="preserve">Booth(1)/ VC </v>
      </c>
      <c r="K16" s="132" t="str">
        <f>VLOOKUP(Schedule!M17,Schedule!$AP:$AQ,2,FALSE)</f>
        <v>Stop 14(2)</v>
      </c>
      <c r="L16" s="132" t="str">
        <f>VLOOKUP(Schedule!N17,Schedule!$AP:$AQ,2,FALSE)</f>
        <v>5&amp;9(1)/ Stop 7</v>
      </c>
      <c r="M16" s="132" t="str">
        <f>VLOOKUP(Schedule!O17,Schedule!$AP:$AQ,2,FALSE)</f>
        <v>OFF</v>
      </c>
      <c r="N16" s="132" t="str">
        <f>VLOOKUP(Schedule!P17,Schedule!$AP:$AQ,2,FALSE)</f>
        <v>OFF</v>
      </c>
      <c r="O16" s="132" t="str">
        <f>VLOOKUP(Schedule!Q17,Schedule!$AP:$AQ,2,FALSE)</f>
        <v>Art(1)/ Stop 7</v>
      </c>
      <c r="P16" s="132" t="str">
        <f>VLOOKUP(Schedule!R17,Schedule!$AP:$AQ,2,FALSE)</f>
        <v>Stop 7(2)</v>
      </c>
      <c r="Q16" s="132" t="str">
        <f>VLOOKUP(Schedule!S17,Schedule!$AP:$AQ,2,FALSE)</f>
        <v>OFF</v>
      </c>
      <c r="R16" s="132" t="str">
        <f>VLOOKUP(Schedule!T17,Schedule!$AP:$AQ,2,FALSE)</f>
        <v>OFF</v>
      </c>
      <c r="S16" s="132" t="str">
        <f>VLOOKUP(Schedule!U17,Schedule!$AP:$AQ,2,FALSE)</f>
        <v xml:space="preserve">Booth(2)/ VC </v>
      </c>
      <c r="T16" s="132" t="str">
        <f>VLOOKUP(Schedule!V17,Schedule!$AP:$AQ,2,FALSE)</f>
        <v>Stop 14(2)</v>
      </c>
      <c r="U16" s="132" t="str">
        <f>VLOOKUP(Schedule!W17,Schedule!$AP:$AQ,2,FALSE)</f>
        <v>5&amp;9(1)/ Stop 7</v>
      </c>
      <c r="V16" s="132" t="str">
        <f>VLOOKUP(Schedule!X17,Schedule!$AP:$AQ,2,FALSE)</f>
        <v xml:space="preserve">VC(1)/ Booth </v>
      </c>
      <c r="W16" s="132" t="str">
        <f>VLOOKUP(Schedule!Y17,Schedule!$AP:$AQ,2,FALSE)</f>
        <v>OFF</v>
      </c>
      <c r="X16" s="132" t="str">
        <f>VLOOKUP(Schedule!Z17,Schedule!$AP:$AQ,2,FALSE)</f>
        <v>OFF</v>
      </c>
      <c r="Y16" s="132" t="str">
        <f>VLOOKUP(Schedule!AA17,Schedule!$AP:$AQ,2,FALSE)</f>
        <v xml:space="preserve">Booth(2)/ VC </v>
      </c>
      <c r="Z16" s="132" t="str">
        <f>VLOOKUP(Schedule!AB17,Schedule!$AP:$AQ,2,FALSE)</f>
        <v>Art(1)/ Stop 7</v>
      </c>
      <c r="AA16" s="132" t="str">
        <f>VLOOKUP(Schedule!AC17,Schedule!$AP:$AQ,2,FALSE)</f>
        <v>OFF</v>
      </c>
      <c r="AB16" s="132" t="str">
        <f>VLOOKUP(Schedule!AD17,Schedule!$AP:$AQ,2,FALSE)</f>
        <v>OFF</v>
      </c>
      <c r="AC16" s="132" t="str">
        <f>VLOOKUP(Schedule!AE17,Schedule!$AP:$AQ,2,FALSE)</f>
        <v>Stop 7(2)</v>
      </c>
      <c r="AD16" s="132" t="str">
        <f>VLOOKUP(Schedule!AF17,Schedule!$AP:$AQ,2,FALSE)</f>
        <v>Stop 14(2)</v>
      </c>
      <c r="AE16" s="132" t="str">
        <f>VLOOKUP(Schedule!AG17,Schedule!$AP:$AQ,2,FALSE)</f>
        <v>OFF</v>
      </c>
      <c r="AF16" s="132" t="str">
        <f>VLOOKUP(Schedule!AH17,Schedule!$AP:$AQ,2,FALSE)</f>
        <v>OFF</v>
      </c>
      <c r="AG16" s="132" t="str">
        <f>VLOOKUP(Schedule!AI17,Schedule!$AP:$AQ,2,FALSE)</f>
        <v xml:space="preserve">VC(2)/ Booth  </v>
      </c>
      <c r="AH16" s="132" t="str">
        <f>VLOOKUP(Schedule!AJ17,Schedule!$AP:$AQ,2,FALSE)</f>
        <v>Stop 14(2)</v>
      </c>
      <c r="AI16" s="132" t="str">
        <f>VLOOKUP(Schedule!AK17,Schedule!$AP:$AQ,2,FALSE)</f>
        <v xml:space="preserve">Booth(1)/ VC </v>
      </c>
      <c r="AJ16" s="132" t="str">
        <f>VLOOKUP(Schedule!AL17,Schedule!$AP:$AQ,2,FALSE)</f>
        <v>OFF</v>
      </c>
    </row>
    <row r="17" spans="1:36" ht="22" customHeight="1" x14ac:dyDescent="0.2">
      <c r="A17" s="131" t="str">
        <f>Schedule!C17</f>
        <v>Jane</v>
      </c>
      <c r="B17" s="131" t="str">
        <f>Schedule!D17</f>
        <v>Doe</v>
      </c>
      <c r="C17" s="132" t="str">
        <f>VLOOKUP(Schedule!E18,Schedule!$AP:$AQ,2,FALSE)</f>
        <v>5&amp;9(1)/ Stop 7</v>
      </c>
      <c r="D17" s="132" t="str">
        <f>VLOOKUP(Schedule!F18,Schedule!$AP:$AQ,2,FALSE)</f>
        <v>Stop 7(2)/ 5&amp;9</v>
      </c>
      <c r="E17" s="132" t="str">
        <f>VLOOKUP(Schedule!G18,Schedule!$AP:$AQ,2,FALSE)</f>
        <v xml:space="preserve">Booth(1)/ VC </v>
      </c>
      <c r="F17" s="132" t="str">
        <f>VLOOKUP(Schedule!H18,Schedule!$AP:$AQ,2,FALSE)</f>
        <v>Art(1)/ Stop 7</v>
      </c>
      <c r="G17" s="132" t="str">
        <f>VLOOKUP(Schedule!I18,Schedule!$AP:$AQ,2,FALSE)</f>
        <v>OFF</v>
      </c>
      <c r="H17" s="132" t="str">
        <f>VLOOKUP(Schedule!J18,Schedule!$AP:$AQ,2,FALSE)</f>
        <v>OFF</v>
      </c>
      <c r="I17" s="132" t="str">
        <f>VLOOKUP(Schedule!K18,Schedule!$AP:$AQ,2,FALSE)</f>
        <v>Stop 14(2)</v>
      </c>
      <c r="J17" s="132" t="str">
        <f>VLOOKUP(Schedule!L18,Schedule!$AP:$AQ,2,FALSE)</f>
        <v xml:space="preserve">VC(1)/ Booth </v>
      </c>
      <c r="K17" s="132" t="str">
        <f>VLOOKUP(Schedule!M18,Schedule!$AP:$AQ,2,FALSE)</f>
        <v>OFF</v>
      </c>
      <c r="L17" s="132" t="str">
        <f>VLOOKUP(Schedule!N18,Schedule!$AP:$AQ,2,FALSE)</f>
        <v>OFF</v>
      </c>
      <c r="M17" s="132" t="str">
        <f>VLOOKUP(Schedule!O18,Schedule!$AP:$AQ,2,FALSE)</f>
        <v>Stop 7(2)</v>
      </c>
      <c r="N17" s="132" t="str">
        <f>VLOOKUP(Schedule!P18,Schedule!$AP:$AQ,2,FALSE)</f>
        <v xml:space="preserve">Booth(2)/ VC </v>
      </c>
      <c r="O17" s="132" t="str">
        <f>VLOOKUP(Schedule!Q18,Schedule!$AP:$AQ,2,FALSE)</f>
        <v>OFF</v>
      </c>
      <c r="P17" s="132" t="str">
        <f>VLOOKUP(Schedule!R18,Schedule!$AP:$AQ,2,FALSE)</f>
        <v>OFF</v>
      </c>
      <c r="Q17" s="132" t="str">
        <f>VLOOKUP(Schedule!S18,Schedule!$AP:$AQ,2,FALSE)</f>
        <v xml:space="preserve">VC(2)/ Booth  </v>
      </c>
      <c r="R17" s="132" t="str">
        <f>VLOOKUP(Schedule!T18,Schedule!$AP:$AQ,2,FALSE)</f>
        <v>Stop 14(2)</v>
      </c>
      <c r="S17" s="132" t="str">
        <f>VLOOKUP(Schedule!U18,Schedule!$AP:$AQ,2,FALSE)</f>
        <v>OFF</v>
      </c>
      <c r="T17" s="132" t="str">
        <f>VLOOKUP(Schedule!V18,Schedule!$AP:$AQ,2,FALSE)</f>
        <v>OFF</v>
      </c>
      <c r="U17" s="132" t="str">
        <f>VLOOKUP(Schedule!W18,Schedule!$AP:$AQ,2,FALSE)</f>
        <v xml:space="preserve">Booth(1)/ VC </v>
      </c>
      <c r="V17" s="132" t="str">
        <f>VLOOKUP(Schedule!X18,Schedule!$AP:$AQ,2,FALSE)</f>
        <v>Stop 14(2)</v>
      </c>
      <c r="W17" s="132" t="str">
        <f>VLOOKUP(Schedule!Y18,Schedule!$AP:$AQ,2,FALSE)</f>
        <v>OFF</v>
      </c>
      <c r="X17" s="132" t="str">
        <f>VLOOKUP(Schedule!Z18,Schedule!$AP:$AQ,2,FALSE)</f>
        <v>Art(1)/ Stop 7</v>
      </c>
      <c r="Y17" s="132" t="str">
        <f>VLOOKUP(Schedule!AA18,Schedule!$AP:$AQ,2,FALSE)</f>
        <v>Stop 7(2)/ 5&amp;9</v>
      </c>
      <c r="Z17" s="132" t="str">
        <f>VLOOKUP(Schedule!AB18,Schedule!$AP:$AQ,2,FALSE)</f>
        <v>OFF</v>
      </c>
      <c r="AA17" s="132" t="str">
        <f>VLOOKUP(Schedule!AC18,Schedule!$AP:$AQ,2,FALSE)</f>
        <v>OFF</v>
      </c>
      <c r="AB17" s="132" t="str">
        <f>VLOOKUP(Schedule!AD18,Schedule!$AP:$AQ,2,FALSE)</f>
        <v xml:space="preserve">VC(2)/ Booth  </v>
      </c>
      <c r="AC17" s="132" t="str">
        <f>VLOOKUP(Schedule!AE18,Schedule!$AP:$AQ,2,FALSE)</f>
        <v>Stop 14(2)</v>
      </c>
      <c r="AD17" s="132" t="str">
        <f>VLOOKUP(Schedule!AF18,Schedule!$AP:$AQ,2,FALSE)</f>
        <v xml:space="preserve">VC(1)/ Booth </v>
      </c>
      <c r="AE17" s="132" t="str">
        <f>VLOOKUP(Schedule!AG18,Schedule!$AP:$AQ,2,FALSE)</f>
        <v>OFF</v>
      </c>
      <c r="AF17" s="132" t="str">
        <f>VLOOKUP(Schedule!AH18,Schedule!$AP:$AQ,2,FALSE)</f>
        <v>Stop 7(2)</v>
      </c>
      <c r="AG17" s="132" t="str">
        <f>VLOOKUP(Schedule!AI18,Schedule!$AP:$AQ,2,FALSE)</f>
        <v>Stop 14(2)</v>
      </c>
      <c r="AH17" s="132" t="str">
        <f>VLOOKUP(Schedule!AJ18,Schedule!$AP:$AQ,2,FALSE)</f>
        <v>OFF</v>
      </c>
      <c r="AI17" s="132" t="str">
        <f>VLOOKUP(Schedule!AK18,Schedule!$AP:$AQ,2,FALSE)</f>
        <v>OFF</v>
      </c>
      <c r="AJ17" s="132" t="str">
        <f>VLOOKUP(Schedule!AL18,Schedule!$AP:$AQ,2,FALSE)</f>
        <v>5&amp;9(1)/ Stop 7</v>
      </c>
    </row>
    <row r="18" spans="1:36" ht="19" customHeight="1" x14ac:dyDescent="0.2">
      <c r="A18" s="131" t="str">
        <f>Schedule!C18</f>
        <v>Jane</v>
      </c>
      <c r="B18" s="131" t="str">
        <f>Schedule!D18</f>
        <v>Doe</v>
      </c>
      <c r="C18" s="132" t="str">
        <f>VLOOKUP(Schedule!E19,Schedule!$AP:$AQ,2,FALSE)</f>
        <v>Stop 14(2)</v>
      </c>
      <c r="D18" s="132" t="str">
        <f>VLOOKUP(Schedule!F19,Schedule!$AP:$AQ,2,FALSE)</f>
        <v>5&amp;9(1)/ Stop 7</v>
      </c>
      <c r="E18" s="132" t="str">
        <f>VLOOKUP(Schedule!G19,Schedule!$AP:$AQ,2,FALSE)</f>
        <v>OFF</v>
      </c>
      <c r="F18" s="132" t="str">
        <f>VLOOKUP(Schedule!H19,Schedule!$AP:$AQ,2,FALSE)</f>
        <v>OFF</v>
      </c>
      <c r="G18" s="132" t="str">
        <f>VLOOKUP(Schedule!I19,Schedule!$AP:$AQ,2,FALSE)</f>
        <v xml:space="preserve">Booth(2)/ VC </v>
      </c>
      <c r="H18" s="132" t="str">
        <f>VLOOKUP(Schedule!J19,Schedule!$AP:$AQ,2,FALSE)</f>
        <v>Stop 7(2)</v>
      </c>
      <c r="I18" s="132" t="str">
        <f>VLOOKUP(Schedule!K19,Schedule!$AP:$AQ,2,FALSE)</f>
        <v xml:space="preserve">Booth(1)/ VC </v>
      </c>
      <c r="J18" s="132" t="str">
        <f>VLOOKUP(Schedule!L19,Schedule!$AP:$AQ,2,FALSE)</f>
        <v>Art(1)/ Stop 7</v>
      </c>
      <c r="K18" s="132" t="str">
        <f>VLOOKUP(Schedule!M19,Schedule!$AP:$AQ,2,FALSE)</f>
        <v>OFF</v>
      </c>
      <c r="L18" s="132" t="str">
        <f>VLOOKUP(Schedule!N19,Schedule!$AP:$AQ,2,FALSE)</f>
        <v xml:space="preserve">VC(2)/ Booth  </v>
      </c>
      <c r="M18" s="132" t="str">
        <f>VLOOKUP(Schedule!O19,Schedule!$AP:$AQ,2,FALSE)</f>
        <v>5&amp;9(1)/ Stop 7</v>
      </c>
      <c r="N18" s="132" t="str">
        <f>VLOOKUP(Schedule!P19,Schedule!$AP:$AQ,2,FALSE)</f>
        <v>Stop 14(2)</v>
      </c>
      <c r="O18" s="132" t="str">
        <f>VLOOKUP(Schedule!Q19,Schedule!$AP:$AQ,2,FALSE)</f>
        <v>OFF</v>
      </c>
      <c r="P18" s="132" t="str">
        <f>VLOOKUP(Schedule!R19,Schedule!$AP:$AQ,2,FALSE)</f>
        <v>Stop 7(2)/ 5&amp;9</v>
      </c>
      <c r="Q18" s="132" t="str">
        <f>VLOOKUP(Schedule!S19,Schedule!$AP:$AQ,2,FALSE)</f>
        <v>OFF</v>
      </c>
      <c r="R18" s="132" t="str">
        <f>VLOOKUP(Schedule!T19,Schedule!$AP:$AQ,2,FALSE)</f>
        <v>OFF</v>
      </c>
      <c r="S18" s="132" t="str">
        <f>VLOOKUP(Schedule!U19,Schedule!$AP:$AQ,2,FALSE)</f>
        <v xml:space="preserve">VC(1)/ Booth </v>
      </c>
      <c r="T18" s="132" t="str">
        <f>VLOOKUP(Schedule!V19,Schedule!$AP:$AQ,2,FALSE)</f>
        <v>OFF</v>
      </c>
      <c r="U18" s="132" t="str">
        <f>VLOOKUP(Schedule!W19,Schedule!$AP:$AQ,2,FALSE)</f>
        <v>OFF</v>
      </c>
      <c r="V18" s="132" t="str">
        <f>VLOOKUP(Schedule!X19,Schedule!$AP:$AQ,2,FALSE)</f>
        <v>Stop 14(2)</v>
      </c>
      <c r="W18" s="132" t="str">
        <f>VLOOKUP(Schedule!Y19,Schedule!$AP:$AQ,2,FALSE)</f>
        <v>Art(1)/ Stop 7</v>
      </c>
      <c r="X18" s="132" t="str">
        <f>VLOOKUP(Schedule!Z19,Schedule!$AP:$AQ,2,FALSE)</f>
        <v>OFF</v>
      </c>
      <c r="Y18" s="132" t="str">
        <f>VLOOKUP(Schedule!AA19,Schedule!$AP:$AQ,2,FALSE)</f>
        <v>OFF</v>
      </c>
      <c r="Z18" s="132" t="str">
        <f>VLOOKUP(Schedule!AB19,Schedule!$AP:$AQ,2,FALSE)</f>
        <v xml:space="preserve">VC(2)/ Booth  </v>
      </c>
      <c r="AA18" s="132" t="str">
        <f>VLOOKUP(Schedule!AC19,Schedule!$AP:$AQ,2,FALSE)</f>
        <v>Stop 14(2)</v>
      </c>
      <c r="AB18" s="132" t="str">
        <f>VLOOKUP(Schedule!AD19,Schedule!$AP:$AQ,2,FALSE)</f>
        <v>OFF</v>
      </c>
      <c r="AC18" s="132" t="str">
        <f>VLOOKUP(Schedule!AE19,Schedule!$AP:$AQ,2,FALSE)</f>
        <v>OFF</v>
      </c>
      <c r="AD18" s="132" t="str">
        <f>VLOOKUP(Schedule!AF19,Schedule!$AP:$AQ,2,FALSE)</f>
        <v>Stop 7(2)/ 5&amp;9</v>
      </c>
      <c r="AE18" s="132" t="str">
        <f>VLOOKUP(Schedule!AG19,Schedule!$AP:$AQ,2,FALSE)</f>
        <v xml:space="preserve">VC(1)/ Booth </v>
      </c>
      <c r="AF18" s="132" t="str">
        <f>VLOOKUP(Schedule!AH19,Schedule!$AP:$AQ,2,FALSE)</f>
        <v>Stop 14(2)</v>
      </c>
      <c r="AG18" s="132" t="str">
        <f>VLOOKUP(Schedule!AI19,Schedule!$AP:$AQ,2,FALSE)</f>
        <v>OFF</v>
      </c>
      <c r="AH18" s="132" t="str">
        <f>VLOOKUP(Schedule!AJ19,Schedule!$AP:$AQ,2,FALSE)</f>
        <v>OFF</v>
      </c>
      <c r="AI18" s="132" t="str">
        <f>VLOOKUP(Schedule!AK19,Schedule!$AP:$AQ,2,FALSE)</f>
        <v xml:space="preserve">Booth(2)/ VC </v>
      </c>
      <c r="AJ18" s="132" t="str">
        <f>VLOOKUP(Schedule!AL19,Schedule!$AP:$AQ,2,FALSE)</f>
        <v xml:space="preserve">Booth(1)/ VC </v>
      </c>
    </row>
    <row r="19" spans="1:36" ht="22" customHeight="1" x14ac:dyDescent="0.2">
      <c r="A19" s="131" t="str">
        <f>Schedule!C19</f>
        <v>Jane</v>
      </c>
      <c r="B19" s="131" t="str">
        <f>Schedule!D19</f>
        <v>Doe</v>
      </c>
      <c r="C19" s="132" t="str">
        <f>VLOOKUP(Schedule!E20,Schedule!$AP:$AQ,2,FALSE)</f>
        <v>Stop 14(2)</v>
      </c>
      <c r="D19" s="132" t="str">
        <f>VLOOKUP(Schedule!F20,Schedule!$AP:$AQ,2,FALSE)</f>
        <v>Stop 14(2)</v>
      </c>
      <c r="E19" s="132" t="str">
        <f>VLOOKUP(Schedule!G20,Schedule!$AP:$AQ,2,FALSE)</f>
        <v>OFF</v>
      </c>
      <c r="F19" s="132" t="str">
        <f>VLOOKUP(Schedule!H20,Schedule!$AP:$AQ,2,FALSE)</f>
        <v xml:space="preserve">Booth(1)/ VC </v>
      </c>
      <c r="G19" s="132" t="str">
        <f>VLOOKUP(Schedule!I20,Schedule!$AP:$AQ,2,FALSE)</f>
        <v>Art(1)/ Stop 7</v>
      </c>
      <c r="H19" s="132" t="str">
        <f>VLOOKUP(Schedule!J20,Schedule!$AP:$AQ,2,FALSE)</f>
        <v>Stop 7(2)/ 5&amp;9</v>
      </c>
      <c r="I19" s="132" t="str">
        <f>VLOOKUP(Schedule!K20,Schedule!$AP:$AQ,2,FALSE)</f>
        <v>OFF</v>
      </c>
      <c r="J19" s="132" t="str">
        <f>VLOOKUP(Schedule!L20,Schedule!$AP:$AQ,2,FALSE)</f>
        <v>OFF</v>
      </c>
      <c r="K19" s="132" t="str">
        <f>VLOOKUP(Schedule!M20,Schedule!$AP:$AQ,2,FALSE)</f>
        <v xml:space="preserve">VC(1)/ Booth </v>
      </c>
      <c r="L19" s="132" t="str">
        <f>VLOOKUP(Schedule!N20,Schedule!$AP:$AQ,2,FALSE)</f>
        <v>Stop 14(2)</v>
      </c>
      <c r="M19" s="132" t="str">
        <f>VLOOKUP(Schedule!O20,Schedule!$AP:$AQ,2,FALSE)</f>
        <v>OFF</v>
      </c>
      <c r="N19" s="132" t="str">
        <f>VLOOKUP(Schedule!P20,Schedule!$AP:$AQ,2,FALSE)</f>
        <v>OFF</v>
      </c>
      <c r="O19" s="132" t="str">
        <f>VLOOKUP(Schedule!Q20,Schedule!$AP:$AQ,2,FALSE)</f>
        <v xml:space="preserve">Booth(2)/ VC </v>
      </c>
      <c r="P19" s="132" t="str">
        <f>VLOOKUP(Schedule!R20,Schedule!$AP:$AQ,2,FALSE)</f>
        <v>OFF</v>
      </c>
      <c r="Q19" s="132" t="str">
        <f>VLOOKUP(Schedule!S20,Schedule!$AP:$AQ,2,FALSE)</f>
        <v>OFF</v>
      </c>
      <c r="R19" s="132" t="str">
        <f>VLOOKUP(Schedule!T20,Schedule!$AP:$AQ,2,FALSE)</f>
        <v xml:space="preserve">VC(2)/ Booth  </v>
      </c>
      <c r="S19" s="132" t="str">
        <f>VLOOKUP(Schedule!U20,Schedule!$AP:$AQ,2,FALSE)</f>
        <v>Stop 7(2)/ 5&amp;9</v>
      </c>
      <c r="T19" s="132" t="str">
        <f>VLOOKUP(Schedule!V20,Schedule!$AP:$AQ,2,FALSE)</f>
        <v>Stop 7(2)</v>
      </c>
      <c r="U19" s="132" t="str">
        <f>VLOOKUP(Schedule!W20,Schedule!$AP:$AQ,2,FALSE)</f>
        <v>OFF</v>
      </c>
      <c r="V19" s="132" t="str">
        <f>VLOOKUP(Schedule!X20,Schedule!$AP:$AQ,2,FALSE)</f>
        <v>OFF</v>
      </c>
      <c r="W19" s="132" t="str">
        <f>VLOOKUP(Schedule!Y20,Schedule!$AP:$AQ,2,FALSE)</f>
        <v>5&amp;9(1)/ Stop 7</v>
      </c>
      <c r="X19" s="132" t="str">
        <f>VLOOKUP(Schedule!Z20,Schedule!$AP:$AQ,2,FALSE)</f>
        <v xml:space="preserve">Booth(1)/ VC </v>
      </c>
      <c r="Y19" s="132" t="str">
        <f>VLOOKUP(Schedule!AA20,Schedule!$AP:$AQ,2,FALSE)</f>
        <v>Stop 7(2)</v>
      </c>
      <c r="Z19" s="132" t="str">
        <f>VLOOKUP(Schedule!AB20,Schedule!$AP:$AQ,2,FALSE)</f>
        <v>OFF</v>
      </c>
      <c r="AA19" s="132" t="str">
        <f>VLOOKUP(Schedule!AC20,Schedule!$AP:$AQ,2,FALSE)</f>
        <v>OFF</v>
      </c>
      <c r="AB19" s="132" t="str">
        <f>VLOOKUP(Schedule!AD20,Schedule!$AP:$AQ,2,FALSE)</f>
        <v>Art(1)/ Stop 7</v>
      </c>
      <c r="AC19" s="132" t="str">
        <f>VLOOKUP(Schedule!AE20,Schedule!$AP:$AQ,2,FALSE)</f>
        <v xml:space="preserve">VC(2)/ Booth  </v>
      </c>
      <c r="AD19" s="132" t="str">
        <f>VLOOKUP(Schedule!AF20,Schedule!$AP:$AQ,2,FALSE)</f>
        <v>OFF</v>
      </c>
      <c r="AE19" s="132" t="str">
        <f>VLOOKUP(Schedule!AG20,Schedule!$AP:$AQ,2,FALSE)</f>
        <v>OFF</v>
      </c>
      <c r="AF19" s="132" t="str">
        <f>VLOOKUP(Schedule!AH20,Schedule!$AP:$AQ,2,FALSE)</f>
        <v xml:space="preserve">VC(1)/ Booth </v>
      </c>
      <c r="AG19" s="132" t="str">
        <f>VLOOKUP(Schedule!AI20,Schedule!$AP:$AQ,2,FALSE)</f>
        <v>5&amp;9(1)/ Stop 7</v>
      </c>
      <c r="AH19" s="132" t="str">
        <f>VLOOKUP(Schedule!AJ20,Schedule!$AP:$AQ,2,FALSE)</f>
        <v xml:space="preserve">Booth(2)/ VC </v>
      </c>
      <c r="AI19" s="132" t="str">
        <f>VLOOKUP(Schedule!AK20,Schedule!$AP:$AQ,2,FALSE)</f>
        <v>OFF</v>
      </c>
      <c r="AJ19" s="132" t="str">
        <f>VLOOKUP(Schedule!AL20,Schedule!$AP:$AQ,2,FALSE)</f>
        <v>OFF</v>
      </c>
    </row>
    <row r="20" spans="1:36" ht="22.5" customHeight="1" x14ac:dyDescent="0.2">
      <c r="A20" s="131" t="str">
        <f>Schedule!C20</f>
        <v>Jane</v>
      </c>
      <c r="B20" s="131" t="str">
        <f>Schedule!D20</f>
        <v>Doe</v>
      </c>
      <c r="C20" s="132" t="e">
        <f>VLOOKUP(Schedule!#REF!,Schedule!$AP:$AQ,2,FALSE)</f>
        <v>#REF!</v>
      </c>
      <c r="D20" s="132" t="e">
        <f>VLOOKUP(Schedule!#REF!,Schedule!$AP:$AQ,2,FALSE)</f>
        <v>#REF!</v>
      </c>
      <c r="E20" s="132" t="e">
        <f>VLOOKUP(Schedule!#REF!,Schedule!$AP:$AQ,2,FALSE)</f>
        <v>#REF!</v>
      </c>
      <c r="F20" s="132" t="e">
        <f>VLOOKUP(Schedule!#REF!,Schedule!$AP:$AQ,2,FALSE)</f>
        <v>#REF!</v>
      </c>
      <c r="G20" s="132" t="e">
        <f>VLOOKUP(Schedule!#REF!,Schedule!$AP:$AQ,2,FALSE)</f>
        <v>#REF!</v>
      </c>
      <c r="H20" s="132" t="e">
        <f>VLOOKUP(Schedule!#REF!,Schedule!$AP:$AQ,2,FALSE)</f>
        <v>#REF!</v>
      </c>
      <c r="I20" s="132" t="e">
        <f>VLOOKUP(Schedule!#REF!,Schedule!$AP:$AQ,2,FALSE)</f>
        <v>#REF!</v>
      </c>
      <c r="J20" s="132" t="e">
        <f>VLOOKUP(Schedule!#REF!,Schedule!$AP:$AQ,2,FALSE)</f>
        <v>#REF!</v>
      </c>
      <c r="K20" s="132" t="e">
        <f>VLOOKUP(Schedule!#REF!,Schedule!$AP:$AQ,2,FALSE)</f>
        <v>#REF!</v>
      </c>
      <c r="L20" s="132" t="e">
        <f>VLOOKUP(Schedule!#REF!,Schedule!$AP:$AQ,2,FALSE)</f>
        <v>#REF!</v>
      </c>
      <c r="M20" s="132" t="e">
        <f>VLOOKUP(Schedule!#REF!,Schedule!$AP:$AQ,2,FALSE)</f>
        <v>#REF!</v>
      </c>
      <c r="N20" s="132" t="e">
        <f>VLOOKUP(Schedule!#REF!,Schedule!$AP:$AQ,2,FALSE)</f>
        <v>#REF!</v>
      </c>
      <c r="O20" s="132" t="e">
        <f>VLOOKUP(Schedule!#REF!,Schedule!$AP:$AQ,2,FALSE)</f>
        <v>#REF!</v>
      </c>
      <c r="P20" s="132" t="e">
        <f>VLOOKUP(Schedule!#REF!,Schedule!$AP:$AQ,2,FALSE)</f>
        <v>#REF!</v>
      </c>
      <c r="Q20" s="132" t="e">
        <f>VLOOKUP(Schedule!#REF!,Schedule!$AP:$AQ,2,FALSE)</f>
        <v>#REF!</v>
      </c>
      <c r="R20" s="132" t="e">
        <f>VLOOKUP(Schedule!#REF!,Schedule!$AP:$AQ,2,FALSE)</f>
        <v>#REF!</v>
      </c>
      <c r="S20" s="132" t="e">
        <f>VLOOKUP(Schedule!#REF!,Schedule!$AP:$AQ,2,FALSE)</f>
        <v>#REF!</v>
      </c>
      <c r="T20" s="132" t="e">
        <f>VLOOKUP(Schedule!#REF!,Schedule!$AP:$AQ,2,FALSE)</f>
        <v>#REF!</v>
      </c>
      <c r="U20" s="132" t="e">
        <f>VLOOKUP(Schedule!#REF!,Schedule!$AP:$AQ,2,FALSE)</f>
        <v>#REF!</v>
      </c>
      <c r="V20" s="132" t="e">
        <f>VLOOKUP(Schedule!#REF!,Schedule!$AP:$AQ,2,FALSE)</f>
        <v>#REF!</v>
      </c>
      <c r="W20" s="132" t="e">
        <f>VLOOKUP(Schedule!#REF!,Schedule!$AP:$AQ,2,FALSE)</f>
        <v>#REF!</v>
      </c>
      <c r="X20" s="132" t="e">
        <f>VLOOKUP(Schedule!#REF!,Schedule!$AP:$AQ,2,FALSE)</f>
        <v>#REF!</v>
      </c>
      <c r="Y20" s="132" t="e">
        <f>VLOOKUP(Schedule!#REF!,Schedule!$AP:$AQ,2,FALSE)</f>
        <v>#REF!</v>
      </c>
      <c r="Z20" s="132" t="e">
        <f>VLOOKUP(Schedule!#REF!,Schedule!$AP:$AQ,2,FALSE)</f>
        <v>#REF!</v>
      </c>
      <c r="AA20" s="132" t="e">
        <f>VLOOKUP(Schedule!#REF!,Schedule!$AP:$AQ,2,FALSE)</f>
        <v>#REF!</v>
      </c>
      <c r="AB20" s="132" t="e">
        <f>VLOOKUP(Schedule!#REF!,Schedule!$AP:$AQ,2,FALSE)</f>
        <v>#REF!</v>
      </c>
      <c r="AC20" s="132" t="e">
        <f>VLOOKUP(Schedule!#REF!,Schedule!$AP:$AQ,2,FALSE)</f>
        <v>#REF!</v>
      </c>
      <c r="AD20" s="132" t="e">
        <f>VLOOKUP(Schedule!#REF!,Schedule!$AP:$AQ,2,FALSE)</f>
        <v>#REF!</v>
      </c>
      <c r="AE20" s="132" t="e">
        <f>VLOOKUP(Schedule!#REF!,Schedule!$AP:$AQ,2,FALSE)</f>
        <v>#REF!</v>
      </c>
      <c r="AF20" s="132" t="e">
        <f>VLOOKUP(Schedule!#REF!,Schedule!$AP:$AQ,2,FALSE)</f>
        <v>#REF!</v>
      </c>
      <c r="AG20" s="132" t="e">
        <f>VLOOKUP(Schedule!#REF!,Schedule!$AP:$AQ,2,FALSE)</f>
        <v>#REF!</v>
      </c>
      <c r="AH20" s="132" t="e">
        <f>VLOOKUP(Schedule!#REF!,Schedule!$AP:$AQ,2,FALSE)</f>
        <v>#REF!</v>
      </c>
      <c r="AI20" s="132" t="e">
        <f>VLOOKUP(Schedule!#REF!,Schedule!$AP:$AQ,2,FALSE)</f>
        <v>#REF!</v>
      </c>
      <c r="AJ20" s="132" t="e">
        <f>VLOOKUP(Schedule!#REF!,Schedule!$AP:$AQ,2,FALSE)</f>
        <v>#REF!</v>
      </c>
    </row>
  </sheetData>
  <phoneticPr fontId="23" type="noConversion"/>
  <conditionalFormatting sqref="P11:R11 O8:Q8 P9:Q9 U8:W8 AA9 M10:O11 M14:O14 S4:T5">
    <cfRule type="cellIs" dxfId="37" priority="51" operator="equal">
      <formula>0</formula>
    </cfRule>
  </conditionalFormatting>
  <conditionalFormatting sqref="C3:AJ20">
    <cfRule type="cellIs" dxfId="36" priority="50" operator="equal">
      <formula>0</formula>
    </cfRule>
  </conditionalFormatting>
  <conditionalFormatting sqref="C3:AJ20">
    <cfRule type="cellIs" dxfId="35" priority="49" operator="equal">
      <formula>"OFF"</formula>
    </cfRule>
  </conditionalFormatting>
  <conditionalFormatting sqref="C18:AJ20">
    <cfRule type="cellIs" dxfId="34" priority="26" operator="equal">
      <formula>0</formula>
    </cfRule>
  </conditionalFormatting>
  <conditionalFormatting sqref="C18:AJ20">
    <cfRule type="cellIs" dxfId="33" priority="25" operator="equal">
      <formula>"OFF"</formula>
    </cfRule>
  </conditionalFormatting>
  <conditionalFormatting sqref="AE18:AG19">
    <cfRule type="cellIs" dxfId="32" priority="24" operator="equal">
      <formula>0</formula>
    </cfRule>
  </conditionalFormatting>
  <conditionalFormatting sqref="AE18:AG19">
    <cfRule type="cellIs" dxfId="31" priority="23" operator="equal">
      <formula>"OFF"</formula>
    </cfRule>
  </conditionalFormatting>
  <conditionalFormatting sqref="AH18:AH19">
    <cfRule type="cellIs" dxfId="30" priority="22" operator="equal">
      <formula>0</formula>
    </cfRule>
  </conditionalFormatting>
  <conditionalFormatting sqref="AH18:AH19">
    <cfRule type="cellIs" dxfId="29" priority="21" operator="equal">
      <formula>"OFF"</formula>
    </cfRule>
  </conditionalFormatting>
  <conditionalFormatting sqref="AH18:AH19">
    <cfRule type="cellIs" dxfId="28" priority="20" operator="equal">
      <formula>0</formula>
    </cfRule>
  </conditionalFormatting>
  <conditionalFormatting sqref="AH18:AH19">
    <cfRule type="cellIs" dxfId="27" priority="19" operator="equal">
      <formula>"OFF"</formula>
    </cfRule>
  </conditionalFormatting>
  <conditionalFormatting sqref="AI18:AI19">
    <cfRule type="cellIs" dxfId="26" priority="18" operator="equal">
      <formula>0</formula>
    </cfRule>
  </conditionalFormatting>
  <conditionalFormatting sqref="AI18:AI19">
    <cfRule type="cellIs" dxfId="25" priority="17" operator="equal">
      <formula>"OFF"</formula>
    </cfRule>
  </conditionalFormatting>
  <conditionalFormatting sqref="AI18:AI19">
    <cfRule type="cellIs" dxfId="24" priority="16" operator="equal">
      <formula>0</formula>
    </cfRule>
  </conditionalFormatting>
  <conditionalFormatting sqref="AI18:AI19">
    <cfRule type="cellIs" dxfId="23" priority="15" operator="equal">
      <formula>"OFF"</formula>
    </cfRule>
  </conditionalFormatting>
  <conditionalFormatting sqref="AJ18:AJ19">
    <cfRule type="cellIs" dxfId="22" priority="14" operator="equal">
      <formula>0</formula>
    </cfRule>
  </conditionalFormatting>
  <conditionalFormatting sqref="AJ18:AJ19">
    <cfRule type="cellIs" dxfId="21" priority="13" operator="equal">
      <formula>"OFF"</formula>
    </cfRule>
  </conditionalFormatting>
  <conditionalFormatting sqref="AJ18:AJ19">
    <cfRule type="cellIs" dxfId="20" priority="12" operator="equal">
      <formula>0</formula>
    </cfRule>
  </conditionalFormatting>
  <conditionalFormatting sqref="AJ18:AJ19">
    <cfRule type="cellIs" dxfId="19" priority="11" operator="equal">
      <formula>"OFF"</formula>
    </cfRule>
  </conditionalFormatting>
  <printOptions verticalCentered="1"/>
  <pageMargins left="1" right="1.02" top="1.21" bottom="1" header="0.5" footer="0.5"/>
  <pageSetup scale="92" fitToWidth="0" orientation="landscape" r:id="rId1"/>
  <headerFooter>
    <oddHeader>&amp;C&amp;"Calibri,Bold"&amp;14&amp;K000000Yosemite Conservancy_x000D_Visitor Information Volunteers_x000D_MAY 2017_x000D_ Station Assignments&amp;R&amp;"Calibri,Regular"&amp;K000000&amp;D</oddHeader>
    <oddFooter>&amp;C&amp;"Calibri,Regular"&amp;K000000&amp;P of &amp;N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H13"/>
  <sheetViews>
    <sheetView workbookViewId="0">
      <selection activeCell="J11" sqref="J11"/>
    </sheetView>
  </sheetViews>
  <sheetFormatPr baseColWidth="10" defaultColWidth="8.83203125" defaultRowHeight="22" customHeight="1" x14ac:dyDescent="0.2"/>
  <cols>
    <col min="1" max="8" width="10.5" style="91" customWidth="1"/>
    <col min="9" max="16384" width="8.83203125" style="91"/>
  </cols>
  <sheetData>
    <row r="1" spans="1:8" ht="22" customHeight="1" thickBot="1" x14ac:dyDescent="0.25">
      <c r="A1" s="194" t="s">
        <v>69</v>
      </c>
      <c r="B1" s="195"/>
      <c r="C1" s="195"/>
      <c r="D1" s="195"/>
      <c r="E1" s="195"/>
      <c r="F1" s="195"/>
      <c r="G1" s="195"/>
      <c r="H1" s="196"/>
    </row>
    <row r="2" spans="1:8" s="93" customFormat="1" ht="22" customHeight="1" thickBot="1" x14ac:dyDescent="0.25">
      <c r="A2" s="197"/>
      <c r="B2" s="198"/>
      <c r="C2" s="198"/>
      <c r="D2" s="198"/>
      <c r="E2" s="199"/>
      <c r="F2" s="198"/>
      <c r="G2" s="198"/>
      <c r="H2" s="200"/>
    </row>
    <row r="3" spans="1:8" ht="22" customHeight="1" x14ac:dyDescent="0.2">
      <c r="A3" s="201" t="s">
        <v>70</v>
      </c>
      <c r="B3" s="94" t="s">
        <v>71</v>
      </c>
      <c r="C3" s="95">
        <v>42490</v>
      </c>
      <c r="D3" s="96">
        <v>42520</v>
      </c>
      <c r="E3" s="204" t="s">
        <v>72</v>
      </c>
      <c r="F3" s="94" t="s">
        <v>71</v>
      </c>
      <c r="G3" s="95">
        <v>42461</v>
      </c>
      <c r="H3" s="96">
        <v>42520</v>
      </c>
    </row>
    <row r="4" spans="1:8" ht="22" customHeight="1" thickBot="1" x14ac:dyDescent="0.25">
      <c r="A4" s="202"/>
      <c r="B4" s="97" t="s">
        <v>73</v>
      </c>
      <c r="C4" s="98">
        <v>42520</v>
      </c>
      <c r="D4" s="99">
        <v>42549</v>
      </c>
      <c r="E4" s="205"/>
      <c r="F4" s="100" t="s">
        <v>73</v>
      </c>
      <c r="G4" s="101">
        <v>42520</v>
      </c>
      <c r="H4" s="102">
        <v>42549</v>
      </c>
    </row>
    <row r="5" spans="1:8" ht="22" customHeight="1" x14ac:dyDescent="0.2">
      <c r="A5" s="202"/>
      <c r="B5" s="103" t="s">
        <v>74</v>
      </c>
      <c r="C5" s="104">
        <v>42549</v>
      </c>
      <c r="D5" s="105">
        <v>42581</v>
      </c>
      <c r="E5" s="205"/>
      <c r="F5" s="106"/>
      <c r="G5" s="107"/>
      <c r="H5" s="108"/>
    </row>
    <row r="6" spans="1:8" ht="22" customHeight="1" x14ac:dyDescent="0.2">
      <c r="A6" s="202"/>
      <c r="B6" s="97" t="s">
        <v>75</v>
      </c>
      <c r="C6" s="109">
        <v>42581</v>
      </c>
      <c r="D6" s="99">
        <v>42610</v>
      </c>
      <c r="E6" s="205"/>
      <c r="F6" s="106"/>
      <c r="G6" s="107"/>
      <c r="H6" s="108"/>
    </row>
    <row r="7" spans="1:8" ht="22" customHeight="1" thickBot="1" x14ac:dyDescent="0.25">
      <c r="A7" s="203"/>
      <c r="B7" s="110" t="s">
        <v>76</v>
      </c>
      <c r="C7" s="111">
        <v>42610</v>
      </c>
      <c r="D7" s="112">
        <v>42644</v>
      </c>
      <c r="E7" s="206"/>
      <c r="F7" s="113"/>
      <c r="G7" s="114"/>
      <c r="H7" s="115"/>
    </row>
    <row r="8" spans="1:8" ht="22" customHeight="1" thickBot="1" x14ac:dyDescent="0.25">
      <c r="A8" s="207"/>
      <c r="B8" s="208"/>
      <c r="C8" s="208"/>
      <c r="D8" s="208"/>
      <c r="E8" s="209"/>
      <c r="F8" s="208"/>
      <c r="G8" s="208"/>
      <c r="H8" s="210"/>
    </row>
    <row r="9" spans="1:8" ht="22" customHeight="1" x14ac:dyDescent="0.2">
      <c r="A9" s="211" t="s">
        <v>77</v>
      </c>
      <c r="B9" s="116" t="s">
        <v>78</v>
      </c>
      <c r="C9" s="117">
        <v>42543</v>
      </c>
      <c r="D9" s="118">
        <v>42571</v>
      </c>
      <c r="E9" s="212" t="s">
        <v>79</v>
      </c>
      <c r="F9" s="119" t="s">
        <v>74</v>
      </c>
      <c r="G9" s="120">
        <v>42550</v>
      </c>
      <c r="H9" s="121">
        <v>42582</v>
      </c>
    </row>
    <row r="10" spans="1:8" ht="22" customHeight="1" x14ac:dyDescent="0.2">
      <c r="A10" s="211"/>
      <c r="B10" s="103" t="s">
        <v>80</v>
      </c>
      <c r="C10" s="104">
        <v>42571</v>
      </c>
      <c r="D10" s="105">
        <v>42599</v>
      </c>
      <c r="E10" s="213"/>
      <c r="F10" s="103" t="s">
        <v>75</v>
      </c>
      <c r="G10" s="104">
        <v>42582</v>
      </c>
      <c r="H10" s="105">
        <v>42611</v>
      </c>
    </row>
    <row r="11" spans="1:8" ht="22" customHeight="1" thickBot="1" x14ac:dyDescent="0.25">
      <c r="A11" s="211"/>
      <c r="B11" s="100" t="s">
        <v>81</v>
      </c>
      <c r="C11" s="122">
        <v>42599</v>
      </c>
      <c r="D11" s="123">
        <v>42630</v>
      </c>
      <c r="E11" s="214"/>
      <c r="F11" s="124" t="s">
        <v>76</v>
      </c>
      <c r="G11" s="122">
        <v>42611</v>
      </c>
      <c r="H11" s="123">
        <v>42643</v>
      </c>
    </row>
    <row r="12" spans="1:8" ht="22" customHeight="1" thickBot="1" x14ac:dyDescent="0.25">
      <c r="A12" s="190"/>
      <c r="B12" s="191"/>
      <c r="C12" s="191"/>
      <c r="D12" s="191"/>
      <c r="E12" s="192"/>
      <c r="F12" s="191"/>
      <c r="G12" s="191"/>
      <c r="H12" s="193"/>
    </row>
    <row r="13" spans="1:8" ht="22" customHeight="1" x14ac:dyDescent="0.2">
      <c r="A13" s="125"/>
    </row>
  </sheetData>
  <mergeCells count="8">
    <mergeCell ref="A12:H12"/>
    <mergeCell ref="A1:H1"/>
    <mergeCell ref="A2:H2"/>
    <mergeCell ref="A3:A7"/>
    <mergeCell ref="E3:E7"/>
    <mergeCell ref="A8:H8"/>
    <mergeCell ref="A9:A11"/>
    <mergeCell ref="E9:E11"/>
  </mergeCells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K19"/>
  <sheetViews>
    <sheetView workbookViewId="0">
      <selection activeCell="A18" sqref="A18:XFD18"/>
    </sheetView>
  </sheetViews>
  <sheetFormatPr baseColWidth="10" defaultColWidth="8.83203125" defaultRowHeight="15" x14ac:dyDescent="0.2"/>
  <cols>
    <col min="1" max="1" width="12.6640625" style="14" customWidth="1"/>
    <col min="2" max="2" width="11.33203125" style="14" customWidth="1"/>
    <col min="3" max="3" width="15.5" customWidth="1"/>
    <col min="4" max="5" width="15.5" style="74" customWidth="1"/>
    <col min="6" max="6" width="15.5" style="14" customWidth="1"/>
    <col min="7" max="7" width="14.6640625" style="14" customWidth="1"/>
    <col min="8" max="10" width="14.6640625" style="68" customWidth="1"/>
    <col min="11" max="11" width="13.83203125" style="68" customWidth="1"/>
    <col min="12" max="12" width="13.1640625" style="68" customWidth="1"/>
    <col min="13" max="13" width="13.6640625" style="68" customWidth="1"/>
    <col min="14" max="14" width="13.5" style="68" customWidth="1"/>
    <col min="15" max="15" width="14" style="68" customWidth="1"/>
    <col min="16" max="16" width="13.6640625" style="68" customWidth="1"/>
    <col min="17" max="18" width="14.6640625" style="68" customWidth="1"/>
    <col min="19" max="19" width="13.83203125" style="68" customWidth="1"/>
    <col min="20" max="20" width="13.5" style="68" customWidth="1"/>
    <col min="21" max="21" width="13.33203125" style="68" customWidth="1"/>
    <col min="22" max="23" width="13.5" style="68" customWidth="1"/>
    <col min="24" max="24" width="14.6640625" style="68" customWidth="1"/>
    <col min="25" max="26" width="14" style="68" customWidth="1"/>
    <col min="27" max="27" width="13.33203125" style="68" customWidth="1"/>
    <col min="28" max="28" width="14" style="68" customWidth="1"/>
    <col min="29" max="29" width="13.5" style="68" customWidth="1"/>
    <col min="30" max="30" width="13.33203125" style="68" customWidth="1"/>
    <col min="31" max="33" width="14.6640625" style="68" customWidth="1"/>
    <col min="34" max="37" width="16.83203125" style="69" customWidth="1"/>
  </cols>
  <sheetData>
    <row r="1" spans="1:37" ht="20" customHeight="1" x14ac:dyDescent="0.2">
      <c r="A1" s="66"/>
      <c r="B1" s="66"/>
      <c r="C1" s="52" t="s">
        <v>48</v>
      </c>
      <c r="D1" s="70" t="s">
        <v>50</v>
      </c>
      <c r="E1" s="70" t="s">
        <v>51</v>
      </c>
      <c r="F1" s="70" t="s">
        <v>52</v>
      </c>
      <c r="G1" s="70" t="s">
        <v>59</v>
      </c>
      <c r="H1" s="70" t="s">
        <v>53</v>
      </c>
      <c r="I1" s="70" t="s">
        <v>48</v>
      </c>
      <c r="J1" s="70" t="s">
        <v>49</v>
      </c>
      <c r="K1" s="70" t="s">
        <v>50</v>
      </c>
      <c r="L1" s="70" t="s">
        <v>51</v>
      </c>
      <c r="M1" s="70" t="s">
        <v>52</v>
      </c>
      <c r="N1" s="76" t="s">
        <v>59</v>
      </c>
      <c r="O1" s="77" t="s">
        <v>53</v>
      </c>
      <c r="P1" s="77" t="s">
        <v>48</v>
      </c>
      <c r="Q1" s="77" t="s">
        <v>49</v>
      </c>
      <c r="R1" s="77" t="s">
        <v>50</v>
      </c>
      <c r="S1" s="77" t="s">
        <v>51</v>
      </c>
      <c r="T1" s="77" t="s">
        <v>52</v>
      </c>
      <c r="U1" s="76" t="s">
        <v>59</v>
      </c>
      <c r="V1" s="77" t="s">
        <v>53</v>
      </c>
      <c r="W1" s="77" t="s">
        <v>48</v>
      </c>
      <c r="X1" s="77" t="s">
        <v>49</v>
      </c>
      <c r="Y1" s="77" t="s">
        <v>50</v>
      </c>
      <c r="Z1" s="77" t="s">
        <v>51</v>
      </c>
      <c r="AA1" s="77" t="s">
        <v>52</v>
      </c>
      <c r="AB1" s="76" t="s">
        <v>59</v>
      </c>
      <c r="AC1" s="77" t="s">
        <v>53</v>
      </c>
      <c r="AD1" s="77" t="s">
        <v>48</v>
      </c>
      <c r="AE1" s="77" t="s">
        <v>49</v>
      </c>
      <c r="AF1" s="77" t="s">
        <v>50</v>
      </c>
      <c r="AG1" s="77" t="s">
        <v>51</v>
      </c>
      <c r="AH1" s="77" t="s">
        <v>52</v>
      </c>
      <c r="AI1" s="76" t="s">
        <v>59</v>
      </c>
      <c r="AJ1" s="77" t="s">
        <v>53</v>
      </c>
      <c r="AK1" s="77" t="s">
        <v>48</v>
      </c>
    </row>
    <row r="2" spans="1:37" s="18" customFormat="1" ht="22" customHeight="1" x14ac:dyDescent="0.2">
      <c r="A2" s="63" t="s">
        <v>64</v>
      </c>
      <c r="B2" s="63" t="s">
        <v>65</v>
      </c>
      <c r="C2" s="63"/>
      <c r="D2" s="63"/>
      <c r="E2" s="63"/>
      <c r="F2" s="53" t="s">
        <v>5</v>
      </c>
      <c r="G2" s="71">
        <f>Schedule!E2</f>
        <v>27</v>
      </c>
      <c r="H2" s="71">
        <f>Schedule!F2</f>
        <v>28</v>
      </c>
      <c r="I2" s="71">
        <f>Schedule!J2</f>
        <v>1</v>
      </c>
      <c r="J2" s="71">
        <f>Schedule!K2</f>
        <v>2</v>
      </c>
      <c r="K2" s="71">
        <f>Schedule!L2</f>
        <v>3</v>
      </c>
      <c r="L2" s="71">
        <f>Schedule!M2</f>
        <v>4</v>
      </c>
      <c r="M2" s="71">
        <f>Schedule!N2</f>
        <v>5</v>
      </c>
      <c r="N2" s="71">
        <f>Schedule!O2</f>
        <v>6</v>
      </c>
      <c r="O2" s="71">
        <f>Schedule!P2</f>
        <v>7</v>
      </c>
      <c r="P2" s="71">
        <f>Schedule!Q2</f>
        <v>8</v>
      </c>
      <c r="Q2" s="71">
        <f>Schedule!R2</f>
        <v>9</v>
      </c>
      <c r="R2" s="71">
        <f>Schedule!S2</f>
        <v>10</v>
      </c>
      <c r="S2" s="71">
        <f>Schedule!T2</f>
        <v>11</v>
      </c>
      <c r="T2" s="71">
        <f>Schedule!U2</f>
        <v>12</v>
      </c>
      <c r="U2" s="71">
        <f>Schedule!V2</f>
        <v>13</v>
      </c>
      <c r="V2" s="71">
        <f>Schedule!W2</f>
        <v>14</v>
      </c>
      <c r="W2" s="71">
        <f>Schedule!X2</f>
        <v>15</v>
      </c>
      <c r="X2" s="71">
        <f>Schedule!Y2</f>
        <v>16</v>
      </c>
      <c r="Y2" s="71">
        <f>Schedule!Z2</f>
        <v>17</v>
      </c>
      <c r="Z2" s="71">
        <f>Schedule!AA2</f>
        <v>18</v>
      </c>
      <c r="AA2" s="71">
        <f>Schedule!AB2</f>
        <v>19</v>
      </c>
      <c r="AB2" s="71">
        <f>Schedule!AC2</f>
        <v>20</v>
      </c>
      <c r="AC2" s="71">
        <f>Schedule!AD2</f>
        <v>21</v>
      </c>
      <c r="AD2" s="71">
        <f>Schedule!AE2</f>
        <v>22</v>
      </c>
      <c r="AE2" s="71">
        <f>Schedule!AF2</f>
        <v>23</v>
      </c>
      <c r="AF2" s="71">
        <f>Schedule!AG2</f>
        <v>24</v>
      </c>
      <c r="AG2" s="71">
        <f>Schedule!AH2</f>
        <v>25</v>
      </c>
      <c r="AH2" s="71">
        <f>Schedule!AI2</f>
        <v>26</v>
      </c>
      <c r="AI2" s="71">
        <f>Schedule!AJ2</f>
        <v>27</v>
      </c>
      <c r="AJ2" s="71">
        <f>Schedule!AK2</f>
        <v>28</v>
      </c>
      <c r="AK2" s="71">
        <f>Schedule!AL2</f>
        <v>29</v>
      </c>
    </row>
    <row r="3" spans="1:37" ht="22" customHeight="1" x14ac:dyDescent="0.2">
      <c r="A3" s="67" t="str">
        <f>Schedule!C3</f>
        <v>Jane</v>
      </c>
      <c r="B3" s="67" t="str">
        <f>Schedule!D3</f>
        <v>Doe</v>
      </c>
      <c r="C3" s="54"/>
      <c r="D3" s="54"/>
      <c r="E3" s="54"/>
      <c r="F3" s="64"/>
      <c r="G3" s="72" t="str">
        <f>IF(Schedule!E3=0,Schedule!$AQ$3,IF(Schedule!E3=1,Schedule!$AQ$4,IF(Schedule!E3=2,Schedule!$AQ$5,IF(Schedule!E3=3,Schedule!$AQ$6,IF(Schedule!E3=4,Schedule!$AQ$7,IF(Schedule!E3=5,Schedule!$AQ$8,IF(Schedule!E3=6,Schedule!$AQ$9,IF(Schedule!E3=7,Schedule!$AQ$10,IF(Schedule!E3=8,Schedule!#REF!,IF(Schedule!E3=9,Schedule!$AQ$12,IF(Schedule!E3=10,Schedule!$AQ$13,IF(Schedule!E3=11,Schedule!#REF!,IF(Schedule!E3=12,Schedule!#REF!,IF(Schedule!E3=13,Schedule!$AQ$14,IF(Schedule!E3=14,Schedule!#REF!,IF(Schedule!E3=15,Schedule!$AQ$15,IF(Schedule!E3=16,Schedule!#REF!,IF(Schedule!E3=17,Schedule!#REF!,IF(Schedule!E3=18,Schedule!$AQ$16,IF(Schedule!E3=19,Schedule!$AQ$17,IF(Schedule!E3=20,Schedule!$AQ$18,IF(Schedule!E3=21,Schedule!#REF!))))))))))))))))))))))</f>
        <v>OFF</v>
      </c>
      <c r="H3" s="72" t="str">
        <f>IF(Schedule!F3=0,Schedule!$AQ$3,IF(Schedule!F3=1,Schedule!$AQ$4,IF(Schedule!F3=2,Schedule!$AQ$5,IF(Schedule!F3=3,Schedule!$AQ$6,IF(Schedule!F3=4,Schedule!$AQ$7,IF(Schedule!F3=5,Schedule!$AQ$8,IF(Schedule!F3=6,Schedule!$AQ$9,IF(Schedule!F3=7,Schedule!$AQ$10,IF(Schedule!F3=8,Schedule!#REF!,IF(Schedule!F3=9,Schedule!$AQ$12,IF(Schedule!F3=10,Schedule!$AQ$13,IF(Schedule!F3=11,Schedule!#REF!,IF(Schedule!F3=12,Schedule!#REF!,IF(Schedule!F3=13,Schedule!$AQ$14,IF(Schedule!F3=14,Schedule!#REF!,IF(Schedule!F3=15,Schedule!$AQ$15,IF(Schedule!F3=16,Schedule!#REF!,IF(Schedule!F3=17,Schedule!#REF!,IF(Schedule!F3=18,Schedule!$AQ$16,IF(Schedule!F3=19,Schedule!$AQ$17,IF(Schedule!F3=20,Schedule!$AQ$18,IF(Schedule!F3=21,Schedule!#REF!))))))))))))))))))))))</f>
        <v>OFF</v>
      </c>
      <c r="I3" s="72" t="str">
        <f>IF(Schedule!J3=0,Schedule!$AQ$3,IF(Schedule!J3=1,Schedule!$AQ$4,IF(Schedule!J3=2,Schedule!$AQ$5,IF(Schedule!J3=3,Schedule!$AQ$6,IF(Schedule!J3=4,Schedule!$AQ$7,IF(Schedule!J3=5,Schedule!$AQ$8,IF(Schedule!J3=6,Schedule!$AQ$9,IF(Schedule!J3=7,Schedule!$AQ$10,IF(Schedule!J3=8,Schedule!#REF!,IF(Schedule!J3=9,Schedule!$AQ$12,IF(Schedule!J3=10,Schedule!$AQ$13,IF(Schedule!J3=11,Schedule!#REF!,IF(Schedule!J3=12,Schedule!#REF!,IF(Schedule!J3=13,Schedule!$AQ$14,IF(Schedule!J3=14,Schedule!#REF!,IF(Schedule!J3=15,Schedule!$AQ$15,IF(Schedule!J3=16,Schedule!#REF!,IF(Schedule!J3=17,Schedule!#REF!,IF(Schedule!J3=18,Schedule!$AQ$16,IF(Schedule!J3=19,Schedule!$AQ$17,IF(Schedule!J3=20,Schedule!$AQ$18,IF(Schedule!J3=21,Schedule!#REF!))))))))))))))))))))))</f>
        <v>OFF</v>
      </c>
      <c r="J3" s="72" t="str">
        <f>IF(Schedule!K3=0,Schedule!$AQ$3,IF(Schedule!K3=1,Schedule!$AQ$4,IF(Schedule!K3=2,Schedule!$AQ$5,IF(Schedule!K3=3,Schedule!$AQ$6,IF(Schedule!K3=4,Schedule!$AQ$7,IF(Schedule!K3=5,Schedule!$AQ$8,IF(Schedule!K3=6,Schedule!$AQ$9,IF(Schedule!K3=7,Schedule!$AQ$10,IF(Schedule!K3=8,Schedule!#REF!,IF(Schedule!K3=9,Schedule!$AQ$12,IF(Schedule!K3=10,Schedule!$AQ$13,IF(Schedule!K3=11,Schedule!#REF!,IF(Schedule!K3=12,Schedule!#REF!,IF(Schedule!K3=13,Schedule!$AQ$14,IF(Schedule!K3=14,Schedule!#REF!,IF(Schedule!K3=15,Schedule!$AQ$15,IF(Schedule!K3=16,Schedule!#REF!,IF(Schedule!K3=17,Schedule!#REF!,IF(Schedule!K3=18,Schedule!$AQ$16,IF(Schedule!K3=19,Schedule!$AQ$17,IF(Schedule!K3=20,Schedule!$AQ$18,IF(Schedule!K3=21,Schedule!#REF!))))))))))))))))))))))</f>
        <v>Stop 7(2)</v>
      </c>
      <c r="K3" s="72" t="str">
        <f>IF(Schedule!L3=0,Schedule!$AQ$3,IF(Schedule!L3=1,Schedule!$AQ$4,IF(Schedule!L3=2,Schedule!$AQ$5,IF(Schedule!L3=3,Schedule!$AQ$6,IF(Schedule!L3=4,Schedule!$AQ$7,IF(Schedule!L3=5,Schedule!$AQ$8,IF(Schedule!L3=6,Schedule!$AQ$9,IF(Schedule!L3=7,Schedule!$AQ$10,IF(Schedule!L3=8,Schedule!#REF!,IF(Schedule!L3=9,Schedule!$AQ$12,IF(Schedule!L3=10,Schedule!$AQ$13,IF(Schedule!L3=11,Schedule!#REF!,IF(Schedule!L3=12,Schedule!#REF!,IF(Schedule!L3=13,Schedule!$AQ$14,IF(Schedule!L3=14,Schedule!#REF!,IF(Schedule!L3=15,Schedule!$AQ$15,IF(Schedule!L3=16,Schedule!#REF!,IF(Schedule!L3=17,Schedule!#REF!,IF(Schedule!L3=18,Schedule!$AQ$16,IF(Schedule!L3=19,Schedule!$AQ$17,IF(Schedule!L3=20,Schedule!$AQ$18,IF(Schedule!L3=21,Schedule!#REF!))))))))))))))))))))))</f>
        <v>Stop 14(2)</v>
      </c>
      <c r="L3" s="72" t="str">
        <f>IF(Schedule!M3=0,Schedule!$AQ$3,IF(Schedule!M3=1,Schedule!$AQ$4,IF(Schedule!M3=2,Schedule!$AQ$5,IF(Schedule!M3=3,Schedule!$AQ$6,IF(Schedule!M3=4,Schedule!$AQ$7,IF(Schedule!M3=5,Schedule!$AQ$8,IF(Schedule!M3=6,Schedule!$AQ$9,IF(Schedule!M3=7,Schedule!$AQ$10,IF(Schedule!M3=8,Schedule!#REF!,IF(Schedule!M3=9,Schedule!$AQ$12,IF(Schedule!M3=10,Schedule!$AQ$13,IF(Schedule!M3=11,Schedule!#REF!,IF(Schedule!M3=12,Schedule!#REF!,IF(Schedule!M3=13,Schedule!$AQ$14,IF(Schedule!M3=14,Schedule!#REF!,IF(Schedule!M3=15,Schedule!$AQ$15,IF(Schedule!M3=16,Schedule!#REF!,IF(Schedule!M3=17,Schedule!#REF!,IF(Schedule!M3=18,Schedule!$AQ$16,IF(Schedule!M3=19,Schedule!$AQ$17,IF(Schedule!M3=20,Schedule!$AQ$18,IF(Schedule!M3=21,Schedule!#REF!))))))))))))))))))))))</f>
        <v>OFF</v>
      </c>
      <c r="M3" s="72" t="str">
        <f>IF(Schedule!N3=0,Schedule!$AQ$3,IF(Schedule!N3=1,Schedule!$AQ$4,IF(Schedule!N3=2,Schedule!$AQ$5,IF(Schedule!N3=3,Schedule!$AQ$6,IF(Schedule!N3=4,Schedule!$AQ$7,IF(Schedule!N3=5,Schedule!$AQ$8,IF(Schedule!N3=6,Schedule!$AQ$9,IF(Schedule!N3=7,Schedule!$AQ$10,IF(Schedule!N3=8,Schedule!#REF!,IF(Schedule!N3=9,Schedule!$AQ$12,IF(Schedule!N3=10,Schedule!$AQ$13,IF(Schedule!N3=11,Schedule!#REF!,IF(Schedule!N3=12,Schedule!#REF!,IF(Schedule!N3=13,Schedule!$AQ$14,IF(Schedule!N3=14,Schedule!#REF!,IF(Schedule!N3=15,Schedule!$AQ$15,IF(Schedule!N3=16,Schedule!#REF!,IF(Schedule!N3=17,Schedule!#REF!,IF(Schedule!N3=18,Schedule!$AQ$16,IF(Schedule!N3=19,Schedule!$AQ$17,IF(Schedule!N3=20,Schedule!$AQ$18,IF(Schedule!N3=21,Schedule!#REF!))))))))))))))))))))))</f>
        <v>OFF</v>
      </c>
      <c r="N3" s="72" t="str">
        <f>IF(Schedule!O3=0,Schedule!$AQ$3,IF(Schedule!O3=1,Schedule!$AQ$4,IF(Schedule!O3=2,Schedule!$AQ$5,IF(Schedule!O3=3,Schedule!$AQ$6,IF(Schedule!O3=4,Schedule!$AQ$7,IF(Schedule!O3=5,Schedule!$AQ$8,IF(Schedule!O3=6,Schedule!$AQ$9,IF(Schedule!O3=7,Schedule!$AQ$10,IF(Schedule!O3=8,Schedule!#REF!,IF(Schedule!O3=9,Schedule!$AQ$12,IF(Schedule!O3=10,Schedule!$AQ$13,IF(Schedule!O3=11,Schedule!#REF!,IF(Schedule!O3=12,Schedule!#REF!,IF(Schedule!O3=13,Schedule!$AQ$14,IF(Schedule!O3=14,Schedule!#REF!,IF(Schedule!O3=15,Schedule!$AQ$15,IF(Schedule!O3=16,Schedule!#REF!,IF(Schedule!O3=17,Schedule!#REF!,IF(Schedule!O3=18,Schedule!$AQ$16,IF(Schedule!O3=19,Schedule!$AQ$17,IF(Schedule!O3=20,Schedule!$AQ$18,IF(Schedule!O3=21,Schedule!#REF!))))))))))))))))))))))</f>
        <v>Stop 14(2)</v>
      </c>
      <c r="O3" s="72" t="str">
        <f>IF(Schedule!P3=0,Schedule!$AQ$3,IF(Schedule!P3=1,Schedule!$AQ$4,IF(Schedule!P3=2,Schedule!$AQ$5,IF(Schedule!P3=3,Schedule!$AQ$6,IF(Schedule!P3=4,Schedule!$AQ$7,IF(Schedule!P3=5,Schedule!$AQ$8,IF(Schedule!P3=6,Schedule!$AQ$9,IF(Schedule!P3=7,Schedule!$AQ$10,IF(Schedule!P3=8,Schedule!#REF!,IF(Schedule!P3=9,Schedule!$AQ$12,IF(Schedule!P3=10,Schedule!$AQ$13,IF(Schedule!P3=11,Schedule!#REF!,IF(Schedule!P3=12,Schedule!#REF!,IF(Schedule!P3=13,Schedule!$AQ$14,IF(Schedule!P3=14,Schedule!#REF!,IF(Schedule!P3=15,Schedule!$AQ$15,IF(Schedule!P3=16,Schedule!#REF!,IF(Schedule!P3=17,Schedule!#REF!,IF(Schedule!P3=18,Schedule!$AQ$16,IF(Schedule!P3=19,Schedule!$AQ$17,IF(Schedule!P3=20,Schedule!$AQ$18,IF(Schedule!P3=21,Schedule!#REF!))))))))))))))))))))))</f>
        <v xml:space="preserve">VC(1)/ Booth </v>
      </c>
      <c r="P3" s="72" t="str">
        <f>IF(Schedule!Q3=0,Schedule!$AQ$3,IF(Schedule!Q3=1,Schedule!$AQ$4,IF(Schedule!Q3=2,Schedule!$AQ$5,IF(Schedule!Q3=3,Schedule!$AQ$6,IF(Schedule!Q3=4,Schedule!$AQ$7,IF(Schedule!Q3=5,Schedule!$AQ$8,IF(Schedule!Q3=6,Schedule!$AQ$9,IF(Schedule!Q3=7,Schedule!$AQ$10,IF(Schedule!Q3=8,Schedule!#REF!,IF(Schedule!Q3=9,Schedule!$AQ$12,IF(Schedule!Q3=10,Schedule!$AQ$13,IF(Schedule!Q3=11,Schedule!#REF!,IF(Schedule!Q3=12,Schedule!#REF!,IF(Schedule!Q3=13,Schedule!$AQ$14,IF(Schedule!Q3=14,Schedule!#REF!,IF(Schedule!Q3=15,Schedule!$AQ$15,IF(Schedule!Q3=16,Schedule!#REF!,IF(Schedule!Q3=17,Schedule!#REF!,IF(Schedule!Q3=18,Schedule!$AQ$16,IF(Schedule!Q3=19,Schedule!$AQ$17,IF(Schedule!Q3=20,Schedule!$AQ$18,IF(Schedule!Q3=21,Schedule!#REF!))))))))))))))))))))))</f>
        <v>Stop 7(2)</v>
      </c>
      <c r="Q3" s="72" t="str">
        <f>IF(Schedule!R3=0,Schedule!$AQ$3,IF(Schedule!R3=1,Schedule!$AQ$4,IF(Schedule!R3=2,Schedule!$AQ$5,IF(Schedule!R3=3,Schedule!$AQ$6,IF(Schedule!R3=4,Schedule!$AQ$7,IF(Schedule!R3=5,Schedule!$AQ$8,IF(Schedule!R3=6,Schedule!$AQ$9,IF(Schedule!R3=7,Schedule!$AQ$10,IF(Schedule!R3=8,Schedule!#REF!,IF(Schedule!R3=9,Schedule!$AQ$12,IF(Schedule!R3=10,Schedule!$AQ$13,IF(Schedule!R3=11,Schedule!#REF!,IF(Schedule!R3=12,Schedule!#REF!,IF(Schedule!R3=13,Schedule!$AQ$14,IF(Schedule!R3=14,Schedule!#REF!,IF(Schedule!R3=15,Schedule!$AQ$15,IF(Schedule!R3=16,Schedule!#REF!,IF(Schedule!R3=17,Schedule!#REF!,IF(Schedule!R3=18,Schedule!$AQ$16,IF(Schedule!R3=19,Schedule!$AQ$17,IF(Schedule!R3=20,Schedule!$AQ$18,IF(Schedule!R3=21,Schedule!#REF!))))))))))))))))))))))</f>
        <v>OFF</v>
      </c>
      <c r="R3" s="72" t="str">
        <f>IF(Schedule!S3=0,Schedule!$AQ$3,IF(Schedule!S3=1,Schedule!$AQ$4,IF(Schedule!S3=2,Schedule!$AQ$5,IF(Schedule!S3=3,Schedule!$AQ$6,IF(Schedule!S3=4,Schedule!$AQ$7,IF(Schedule!S3=5,Schedule!$AQ$8,IF(Schedule!S3=6,Schedule!$AQ$9,IF(Schedule!S3=7,Schedule!$AQ$10,IF(Schedule!S3=8,Schedule!#REF!,IF(Schedule!S3=9,Schedule!$AQ$12,IF(Schedule!S3=10,Schedule!$AQ$13,IF(Schedule!S3=11,Schedule!#REF!,IF(Schedule!S3=12,Schedule!#REF!,IF(Schedule!S3=13,Schedule!$AQ$14,IF(Schedule!S3=14,Schedule!#REF!,IF(Schedule!S3=15,Schedule!$AQ$15,IF(Schedule!S3=16,Schedule!#REF!,IF(Schedule!S3=17,Schedule!#REF!,IF(Schedule!S3=18,Schedule!$AQ$16,IF(Schedule!S3=19,Schedule!$AQ$17,IF(Schedule!S3=20,Schedule!$AQ$18,IF(Schedule!S3=21,Schedule!#REF!))))))))))))))))))))))</f>
        <v>OFF</v>
      </c>
      <c r="S3" s="72" t="str">
        <f>IF(Schedule!T3=0,Schedule!$AQ$3,IF(Schedule!T3=1,Schedule!$AQ$4,IF(Schedule!T3=2,Schedule!$AQ$5,IF(Schedule!T3=3,Schedule!$AQ$6,IF(Schedule!T3=4,Schedule!$AQ$7,IF(Schedule!T3=5,Schedule!$AQ$8,IF(Schedule!T3=6,Schedule!$AQ$9,IF(Schedule!T3=7,Schedule!$AQ$10,IF(Schedule!T3=8,Schedule!#REF!,IF(Schedule!T3=9,Schedule!$AQ$12,IF(Schedule!T3=10,Schedule!$AQ$13,IF(Schedule!T3=11,Schedule!#REF!,IF(Schedule!T3=12,Schedule!#REF!,IF(Schedule!T3=13,Schedule!$AQ$14,IF(Schedule!T3=14,Schedule!#REF!,IF(Schedule!T3=15,Schedule!$AQ$15,IF(Schedule!T3=16,Schedule!#REF!,IF(Schedule!T3=17,Schedule!#REF!,IF(Schedule!T3=18,Schedule!$AQ$16,IF(Schedule!T3=19,Schedule!$AQ$17,IF(Schedule!T3=20,Schedule!$AQ$18,IF(Schedule!T3=21,Schedule!#REF!))))))))))))))))))))))</f>
        <v>Art(1)/ Stop 7</v>
      </c>
      <c r="T3" s="72" t="str">
        <f>IF(Schedule!U3=0,Schedule!$AQ$3,IF(Schedule!U3=1,Schedule!$AQ$4,IF(Schedule!U3=2,Schedule!$AQ$5,IF(Schedule!U3=3,Schedule!$AQ$6,IF(Schedule!U3=4,Schedule!$AQ$7,IF(Schedule!U3=5,Schedule!$AQ$8,IF(Schedule!U3=6,Schedule!$AQ$9,IF(Schedule!U3=7,Schedule!$AQ$10,IF(Schedule!U3=8,Schedule!#REF!,IF(Schedule!U3=9,Schedule!$AQ$12,IF(Schedule!U3=10,Schedule!$AQ$13,IF(Schedule!U3=11,Schedule!#REF!,IF(Schedule!U3=12,Schedule!#REF!,IF(Schedule!U3=13,Schedule!$AQ$14,IF(Schedule!U3=14,Schedule!#REF!,IF(Schedule!U3=15,Schedule!$AQ$15,IF(Schedule!U3=16,Schedule!#REF!,IF(Schedule!U3=17,Schedule!#REF!,IF(Schedule!U3=18,Schedule!$AQ$16,IF(Schedule!U3=19,Schedule!$AQ$17,IF(Schedule!U3=20,Schedule!$AQ$18,IF(Schedule!U3=21,Schedule!#REF!))))))))))))))))))))))</f>
        <v xml:space="preserve">Booth(1)/ VC </v>
      </c>
      <c r="U3" s="72" t="str">
        <f>IF(Schedule!V3=0,Schedule!$AQ$3,IF(Schedule!V3=1,Schedule!$AQ$4,IF(Schedule!V3=2,Schedule!$AQ$5,IF(Schedule!V3=3,Schedule!$AQ$6,IF(Schedule!V3=4,Schedule!$AQ$7,IF(Schedule!V3=5,Schedule!$AQ$8,IF(Schedule!V3=6,Schedule!$AQ$9,IF(Schedule!V3=7,Schedule!$AQ$10,IF(Schedule!V3=8,Schedule!#REF!,IF(Schedule!V3=9,Schedule!$AQ$12,IF(Schedule!V3=10,Schedule!$AQ$13,IF(Schedule!V3=11,Schedule!#REF!,IF(Schedule!V3=12,Schedule!#REF!,IF(Schedule!V3=13,Schedule!$AQ$14,IF(Schedule!V3=14,Schedule!#REF!,IF(Schedule!V3=15,Schedule!$AQ$15,IF(Schedule!V3=16,Schedule!#REF!,IF(Schedule!V3=17,Schedule!#REF!,IF(Schedule!V3=18,Schedule!$AQ$16,IF(Schedule!V3=19,Schedule!$AQ$17,IF(Schedule!V3=20,Schedule!$AQ$18,IF(Schedule!V3=21,Schedule!#REF!))))))))))))))))))))))</f>
        <v>OFF</v>
      </c>
      <c r="V3" s="72" t="str">
        <f>IF(Schedule!W3=0,Schedule!$AQ$3,IF(Schedule!W3=1,Schedule!$AQ$4,IF(Schedule!W3=2,Schedule!$AQ$5,IF(Schedule!W3=3,Schedule!$AQ$6,IF(Schedule!W3=4,Schedule!$AQ$7,IF(Schedule!W3=5,Schedule!$AQ$8,IF(Schedule!W3=6,Schedule!$AQ$9,IF(Schedule!W3=7,Schedule!$AQ$10,IF(Schedule!W3=8,Schedule!#REF!,IF(Schedule!W3=9,Schedule!$AQ$12,IF(Schedule!W3=10,Schedule!$AQ$13,IF(Schedule!W3=11,Schedule!#REF!,IF(Schedule!W3=12,Schedule!#REF!,IF(Schedule!W3=13,Schedule!$AQ$14,IF(Schedule!W3=14,Schedule!#REF!,IF(Schedule!W3=15,Schedule!$AQ$15,IF(Schedule!W3=16,Schedule!#REF!,IF(Schedule!W3=17,Schedule!#REF!,IF(Schedule!W3=18,Schedule!$AQ$16,IF(Schedule!W3=19,Schedule!$AQ$17,IF(Schedule!W3=20,Schedule!$AQ$18,IF(Schedule!W3=21,Schedule!#REF!))))))))))))))))))))))</f>
        <v>OFF</v>
      </c>
      <c r="W3" s="72" t="str">
        <f>IF(Schedule!X3=0,Schedule!$AQ$3,IF(Schedule!X3=1,Schedule!$AQ$4,IF(Schedule!X3=2,Schedule!$AQ$5,IF(Schedule!X3=3,Schedule!$AQ$6,IF(Schedule!X3=4,Schedule!$AQ$7,IF(Schedule!X3=5,Schedule!$AQ$8,IF(Schedule!X3=6,Schedule!$AQ$9,IF(Schedule!X3=7,Schedule!$AQ$10,IF(Schedule!X3=8,Schedule!#REF!,IF(Schedule!X3=9,Schedule!$AQ$12,IF(Schedule!X3=10,Schedule!$AQ$13,IF(Schedule!X3=11,Schedule!#REF!,IF(Schedule!X3=12,Schedule!#REF!,IF(Schedule!X3=13,Schedule!$AQ$14,IF(Schedule!X3=14,Schedule!#REF!,IF(Schedule!X3=15,Schedule!$AQ$15,IF(Schedule!X3=16,Schedule!#REF!,IF(Schedule!X3=17,Schedule!#REF!,IF(Schedule!X3=18,Schedule!$AQ$16,IF(Schedule!X3=19,Schedule!$AQ$17,IF(Schedule!X3=20,Schedule!$AQ$18,IF(Schedule!X3=21,Schedule!#REF!))))))))))))))))))))))</f>
        <v xml:space="preserve">VC(2)/ Booth  </v>
      </c>
      <c r="X3" s="72" t="str">
        <f>IF(Schedule!Y3=0,Schedule!$AQ$3,IF(Schedule!Y3=1,Schedule!$AQ$4,IF(Schedule!Y3=2,Schedule!$AQ$5,IF(Schedule!Y3=3,Schedule!$AQ$6,IF(Schedule!Y3=4,Schedule!$AQ$7,IF(Schedule!Y3=5,Schedule!$AQ$8,IF(Schedule!Y3=6,Schedule!$AQ$9,IF(Schedule!Y3=7,Schedule!$AQ$10,IF(Schedule!Y3=8,Schedule!#REF!,IF(Schedule!Y3=9,Schedule!$AQ$12,IF(Schedule!Y3=10,Schedule!$AQ$13,IF(Schedule!Y3=11,Schedule!#REF!,IF(Schedule!Y3=12,Schedule!#REF!,IF(Schedule!Y3=13,Schedule!$AQ$14,IF(Schedule!Y3=14,Schedule!#REF!,IF(Schedule!Y3=15,Schedule!$AQ$15,IF(Schedule!Y3=16,Schedule!#REF!,IF(Schedule!Y3=17,Schedule!#REF!,IF(Schedule!Y3=18,Schedule!$AQ$16,IF(Schedule!Y3=19,Schedule!$AQ$17,IF(Schedule!Y3=20,Schedule!$AQ$18,IF(Schedule!Y3=21,Schedule!#REF!))))))))))))))))))))))</f>
        <v>Stop 7(2)/ 5&amp;9</v>
      </c>
      <c r="Y3" s="72" t="str">
        <f>IF(Schedule!Z3=0,Schedule!$AQ$3,IF(Schedule!Z3=1,Schedule!$AQ$4,IF(Schedule!Z3=2,Schedule!$AQ$5,IF(Schedule!Z3=3,Schedule!$AQ$6,IF(Schedule!Z3=4,Schedule!$AQ$7,IF(Schedule!Z3=5,Schedule!$AQ$8,IF(Schedule!Z3=6,Schedule!$AQ$9,IF(Schedule!Z3=7,Schedule!$AQ$10,IF(Schedule!Z3=8,Schedule!#REF!,IF(Schedule!Z3=9,Schedule!$AQ$12,IF(Schedule!Z3=10,Schedule!$AQ$13,IF(Schedule!Z3=11,Schedule!#REF!,IF(Schedule!Z3=12,Schedule!#REF!,IF(Schedule!Z3=13,Schedule!$AQ$14,IF(Schedule!Z3=14,Schedule!#REF!,IF(Schedule!Z3=15,Schedule!$AQ$15,IF(Schedule!Z3=16,Schedule!#REF!,IF(Schedule!Z3=17,Schedule!#REF!,IF(Schedule!Z3=18,Schedule!$AQ$16,IF(Schedule!Z3=19,Schedule!$AQ$17,IF(Schedule!Z3=20,Schedule!$AQ$18,IF(Schedule!Z3=21,Schedule!#REF!))))))))))))))))))))))</f>
        <v>OFF</v>
      </c>
      <c r="Z3" s="72" t="str">
        <f>IF(Schedule!AA3=0,Schedule!$AQ$3,IF(Schedule!AA3=1,Schedule!$AQ$4,IF(Schedule!AA3=2,Schedule!$AQ$5,IF(Schedule!AA3=3,Schedule!$AQ$6,IF(Schedule!AA3=4,Schedule!$AQ$7,IF(Schedule!AA3=5,Schedule!$AQ$8,IF(Schedule!AA3=6,Schedule!$AQ$9,IF(Schedule!AA3=7,Schedule!$AQ$10,IF(Schedule!AA3=8,Schedule!#REF!,IF(Schedule!AA3=9,Schedule!$AQ$12,IF(Schedule!AA3=10,Schedule!$AQ$13,IF(Schedule!AA3=11,Schedule!#REF!,IF(Schedule!AA3=12,Schedule!#REF!,IF(Schedule!AA3=13,Schedule!$AQ$14,IF(Schedule!AA3=14,Schedule!#REF!,IF(Schedule!AA3=15,Schedule!$AQ$15,IF(Schedule!AA3=16,Schedule!#REF!,IF(Schedule!AA3=17,Schedule!#REF!,IF(Schedule!AA3=18,Schedule!$AQ$16,IF(Schedule!AA3=19,Schedule!$AQ$17,IF(Schedule!AA3=20,Schedule!$AQ$18,IF(Schedule!AA3=21,Schedule!#REF!))))))))))))))))))))))</f>
        <v>OFF</v>
      </c>
      <c r="AA3" s="72" t="str">
        <f>IF(Schedule!AB3=0,Schedule!$AQ$3,IF(Schedule!AB3=1,Schedule!$AQ$4,IF(Schedule!AB3=2,Schedule!$AQ$5,IF(Schedule!AB3=3,Schedule!$AQ$6,IF(Schedule!AB3=4,Schedule!$AQ$7,IF(Schedule!AB3=5,Schedule!$AQ$8,IF(Schedule!AB3=6,Schedule!$AQ$9,IF(Schedule!AB3=7,Schedule!$AQ$10,IF(Schedule!AB3=8,Schedule!#REF!,IF(Schedule!AB3=9,Schedule!$AQ$12,IF(Schedule!AB3=10,Schedule!$AQ$13,IF(Schedule!AB3=11,Schedule!#REF!,IF(Schedule!AB3=12,Schedule!#REF!,IF(Schedule!AB3=13,Schedule!$AQ$14,IF(Schedule!AB3=14,Schedule!#REF!,IF(Schedule!AB3=15,Schedule!$AQ$15,IF(Schedule!AB3=16,Schedule!#REF!,IF(Schedule!AB3=17,Schedule!#REF!,IF(Schedule!AB3=18,Schedule!$AQ$16,IF(Schedule!AB3=19,Schedule!$AQ$17,IF(Schedule!AB3=20,Schedule!$AQ$18,IF(Schedule!AB3=21,Schedule!#REF!))))))))))))))))))))))</f>
        <v xml:space="preserve">VC(1)/ Booth </v>
      </c>
      <c r="AB3" s="72" t="str">
        <f>IF(Schedule!AC3=0,Schedule!$AQ$3,IF(Schedule!AC3=1,Schedule!$AQ$4,IF(Schedule!AC3=2,Schedule!$AQ$5,IF(Schedule!AC3=3,Schedule!$AQ$6,IF(Schedule!AC3=4,Schedule!$AQ$7,IF(Schedule!AC3=5,Schedule!$AQ$8,IF(Schedule!AC3=6,Schedule!$AQ$9,IF(Schedule!AC3=7,Schedule!$AQ$10,IF(Schedule!AC3=8,Schedule!#REF!,IF(Schedule!AC3=9,Schedule!$AQ$12,IF(Schedule!AC3=10,Schedule!$AQ$13,IF(Schedule!AC3=11,Schedule!#REF!,IF(Schedule!AC3=12,Schedule!#REF!,IF(Schedule!AC3=13,Schedule!$AQ$14,IF(Schedule!AC3=14,Schedule!#REF!,IF(Schedule!AC3=15,Schedule!$AQ$15,IF(Schedule!AC3=16,Schedule!#REF!,IF(Schedule!AC3=17,Schedule!#REF!,IF(Schedule!AC3=18,Schedule!$AQ$16,IF(Schedule!AC3=19,Schedule!$AQ$17,IF(Schedule!AC3=20,Schedule!$AQ$18,IF(Schedule!AC3=21,Schedule!#REF!))))))))))))))))))))))</f>
        <v>Stop 14(2)</v>
      </c>
      <c r="AC3" s="72" t="str">
        <f>IF(Schedule!AD3=0,Schedule!$AQ$3,IF(Schedule!AD3=1,Schedule!$AQ$4,IF(Schedule!AD3=2,Schedule!$AQ$5,IF(Schedule!AD3=3,Schedule!$AQ$6,IF(Schedule!AD3=4,Schedule!$AQ$7,IF(Schedule!AD3=5,Schedule!$AQ$8,IF(Schedule!AD3=6,Schedule!$AQ$9,IF(Schedule!AD3=7,Schedule!$AQ$10,IF(Schedule!AD3=8,Schedule!#REF!,IF(Schedule!AD3=9,Schedule!$AQ$12,IF(Schedule!AD3=10,Schedule!$AQ$13,IF(Schedule!AD3=11,Schedule!#REF!,IF(Schedule!AD3=12,Schedule!#REF!,IF(Schedule!AD3=13,Schedule!$AQ$14,IF(Schedule!AD3=14,Schedule!#REF!,IF(Schedule!AD3=15,Schedule!$AQ$15,IF(Schedule!AD3=16,Schedule!#REF!,IF(Schedule!AD3=17,Schedule!#REF!,IF(Schedule!AD3=18,Schedule!$AQ$16,IF(Schedule!AD3=19,Schedule!$AQ$17,IF(Schedule!AD3=20,Schedule!$AQ$18,IF(Schedule!AD3=21,Schedule!#REF!))))))))))))))))))))))</f>
        <v>Stop 7(2)/ 5&amp;9</v>
      </c>
      <c r="AD3" s="72" t="str">
        <f>IF(Schedule!AE3=0,Schedule!$AQ$3,IF(Schedule!AE3=1,Schedule!$AQ$4,IF(Schedule!AE3=2,Schedule!$AQ$5,IF(Schedule!AE3=3,Schedule!$AQ$6,IF(Schedule!AE3=4,Schedule!$AQ$7,IF(Schedule!AE3=5,Schedule!$AQ$8,IF(Schedule!AE3=6,Schedule!$AQ$9,IF(Schedule!AE3=7,Schedule!$AQ$10,IF(Schedule!AE3=8,Schedule!#REF!,IF(Schedule!AE3=9,Schedule!$AQ$12,IF(Schedule!AE3=10,Schedule!$AQ$13,IF(Schedule!AE3=11,Schedule!#REF!,IF(Schedule!AE3=12,Schedule!#REF!,IF(Schedule!AE3=13,Schedule!$AQ$14,IF(Schedule!AE3=14,Schedule!#REF!,IF(Schedule!AE3=15,Schedule!$AQ$15,IF(Schedule!AE3=16,Schedule!#REF!,IF(Schedule!AE3=17,Schedule!#REF!,IF(Schedule!AE3=18,Schedule!$AQ$16,IF(Schedule!AE3=19,Schedule!$AQ$17,IF(Schedule!AE3=20,Schedule!$AQ$18,IF(Schedule!AE3=21,Schedule!#REF!))))))))))))))))))))))</f>
        <v>OFF</v>
      </c>
      <c r="AE3" s="72" t="str">
        <f>IF(Schedule!AF3=0,Schedule!$AQ$3,IF(Schedule!AF3=1,Schedule!$AQ$4,IF(Schedule!AF3=2,Schedule!$AQ$5,IF(Schedule!AF3=3,Schedule!$AQ$6,IF(Schedule!AF3=4,Schedule!$AQ$7,IF(Schedule!AF3=5,Schedule!$AQ$8,IF(Schedule!AF3=6,Schedule!$AQ$9,IF(Schedule!AF3=7,Schedule!$AQ$10,IF(Schedule!AF3=8,Schedule!#REF!,IF(Schedule!AF3=9,Schedule!$AQ$12,IF(Schedule!AF3=10,Schedule!$AQ$13,IF(Schedule!AF3=11,Schedule!#REF!,IF(Schedule!AF3=12,Schedule!#REF!,IF(Schedule!AF3=13,Schedule!$AQ$14,IF(Schedule!AF3=14,Schedule!#REF!,IF(Schedule!AF3=15,Schedule!$AQ$15,IF(Schedule!AF3=16,Schedule!#REF!,IF(Schedule!AF3=17,Schedule!#REF!,IF(Schedule!AF3=18,Schedule!$AQ$16,IF(Schedule!AF3=19,Schedule!$AQ$17,IF(Schedule!AF3=20,Schedule!$AQ$18,IF(Schedule!AF3=21,Schedule!#REF!))))))))))))))))))))))</f>
        <v>OFF</v>
      </c>
      <c r="AF3" s="72" t="str">
        <f>IF(Schedule!AG3=0,Schedule!$AQ$3,IF(Schedule!AG3=1,Schedule!$AQ$4,IF(Schedule!AG3=2,Schedule!$AQ$5,IF(Schedule!AG3=3,Schedule!$AQ$6,IF(Schedule!AG3=4,Schedule!$AQ$7,IF(Schedule!AG3=5,Schedule!$AQ$8,IF(Schedule!AG3=6,Schedule!$AQ$9,IF(Schedule!AG3=7,Schedule!$AQ$10,IF(Schedule!AG3=8,Schedule!#REF!,IF(Schedule!AG3=9,Schedule!$AQ$12,IF(Schedule!AG3=10,Schedule!$AQ$13,IF(Schedule!AG3=11,Schedule!#REF!,IF(Schedule!AG3=12,Schedule!#REF!,IF(Schedule!AG3=13,Schedule!$AQ$14,IF(Schedule!AG3=14,Schedule!#REF!,IF(Schedule!AG3=15,Schedule!$AQ$15,IF(Schedule!AG3=16,Schedule!#REF!,IF(Schedule!AG3=17,Schedule!#REF!,IF(Schedule!AG3=18,Schedule!$AQ$16,IF(Schedule!AG3=19,Schedule!$AQ$17,IF(Schedule!AG3=20,Schedule!$AQ$18,IF(Schedule!AG3=21,Schedule!#REF!))))))))))))))))))))))</f>
        <v xml:space="preserve">Booth(2)/ VC </v>
      </c>
      <c r="AG3" s="72" t="str">
        <f>IF(Schedule!AH3=0,Schedule!$AQ$3,IF(Schedule!AH3=1,Schedule!$AQ$4,IF(Schedule!AH3=2,Schedule!$AQ$5,IF(Schedule!AH3=3,Schedule!$AQ$6,IF(Schedule!AH3=4,Schedule!$AQ$7,IF(Schedule!AH3=5,Schedule!$AQ$8,IF(Schedule!AH3=6,Schedule!$AQ$9,IF(Schedule!AH3=7,Schedule!$AQ$10,IF(Schedule!AH3=8,Schedule!#REF!,IF(Schedule!AH3=9,Schedule!$AQ$12,IF(Schedule!AH3=10,Schedule!$AQ$13,IF(Schedule!AH3=11,Schedule!#REF!,IF(Schedule!AH3=12,Schedule!#REF!,IF(Schedule!AH3=13,Schedule!$AQ$14,IF(Schedule!AH3=14,Schedule!#REF!,IF(Schedule!AH3=15,Schedule!$AQ$15,IF(Schedule!AH3=16,Schedule!#REF!,IF(Schedule!AH3=17,Schedule!#REF!,IF(Schedule!AH3=18,Schedule!$AQ$16,IF(Schedule!AH3=19,Schedule!$AQ$17,IF(Schedule!AH3=20,Schedule!$AQ$18,IF(Schedule!AH3=21,Schedule!#REF!))))))))))))))))))))))</f>
        <v xml:space="preserve">Booth(1)/ VC </v>
      </c>
      <c r="AH3" s="72" t="str">
        <f>IF(Schedule!AI3=0,Schedule!$AQ$3,IF(Schedule!AI3=1,Schedule!$AQ$4,IF(Schedule!AI3=2,Schedule!$AQ$5,IF(Schedule!AI3=3,Schedule!$AQ$6,IF(Schedule!AI3=4,Schedule!$AQ$7,IF(Schedule!AI3=5,Schedule!$AQ$8,IF(Schedule!AI3=6,Schedule!$AQ$9,IF(Schedule!AI3=7,Schedule!$AQ$10,IF(Schedule!AI3=8,Schedule!#REF!,IF(Schedule!AI3=9,Schedule!$AQ$12,IF(Schedule!AI3=10,Schedule!$AQ$13,IF(Schedule!AI3=11,Schedule!#REF!,IF(Schedule!AI3=12,Schedule!#REF!,IF(Schedule!AI3=13,Schedule!$AQ$14,IF(Schedule!AI3=14,Schedule!#REF!,IF(Schedule!AI3=15,Schedule!$AQ$15,IF(Schedule!AI3=16,Schedule!#REF!,IF(Schedule!AI3=17,Schedule!#REF!,IF(Schedule!AI3=18,Schedule!$AQ$16,IF(Schedule!AI3=19,Schedule!$AQ$17,IF(Schedule!AI3=20,Schedule!$AQ$18,IF(Schedule!AI3=21,Schedule!#REF!))))))))))))))))))))))</f>
        <v>OFF</v>
      </c>
      <c r="AI3" s="72" t="str">
        <f>IF(Schedule!AJ3=0,Schedule!$AQ$3,IF(Schedule!AJ3=1,Schedule!$AQ$4,IF(Schedule!AJ3=2,Schedule!$AQ$5,IF(Schedule!AJ3=3,Schedule!$AQ$6,IF(Schedule!AJ3=4,Schedule!$AQ$7,IF(Schedule!AJ3=5,Schedule!$AQ$8,IF(Schedule!AJ3=6,Schedule!$AQ$9,IF(Schedule!AJ3=7,Schedule!$AQ$10,IF(Schedule!AJ3=8,Schedule!#REF!,IF(Schedule!AJ3=9,Schedule!$AQ$12,IF(Schedule!AJ3=10,Schedule!$AQ$13,IF(Schedule!AJ3=11,Schedule!#REF!,IF(Schedule!AJ3=12,Schedule!#REF!,IF(Schedule!AJ3=13,Schedule!$AQ$14,IF(Schedule!AJ3=14,Schedule!#REF!,IF(Schedule!AJ3=15,Schedule!$AQ$15,IF(Schedule!AJ3=16,Schedule!#REF!,IF(Schedule!AJ3=17,Schedule!#REF!,IF(Schedule!AJ3=18,Schedule!$AQ$16,IF(Schedule!AJ3=19,Schedule!$AQ$17,IF(Schedule!AJ3=20,Schedule!$AQ$18,IF(Schedule!AJ3=21,Schedule!#REF!))))))))))))))))))))))</f>
        <v>OFF</v>
      </c>
      <c r="AJ3" s="72" t="str">
        <f>IF(Schedule!AK3=0,Schedule!$AQ$3,IF(Schedule!AK3=1,Schedule!$AQ$4,IF(Schedule!AK3=2,Schedule!$AQ$5,IF(Schedule!AK3=3,Schedule!$AQ$6,IF(Schedule!AK3=4,Schedule!$AQ$7,IF(Schedule!AK3=5,Schedule!$AQ$8,IF(Schedule!AK3=6,Schedule!$AQ$9,IF(Schedule!AK3=7,Schedule!$AQ$10,IF(Schedule!AK3=8,Schedule!#REF!,IF(Schedule!AK3=9,Schedule!$AQ$12,IF(Schedule!AK3=10,Schedule!$AQ$13,IF(Schedule!AK3=11,Schedule!#REF!,IF(Schedule!AK3=12,Schedule!#REF!,IF(Schedule!AK3=13,Schedule!$AQ$14,IF(Schedule!AK3=14,Schedule!#REF!,IF(Schedule!AK3=15,Schedule!$AQ$15,IF(Schedule!AK3=16,Schedule!#REF!,IF(Schedule!AK3=17,Schedule!#REF!,IF(Schedule!AK3=18,Schedule!$AQ$16,IF(Schedule!AK3=19,Schedule!$AQ$17,IF(Schedule!AK3=20,Schedule!$AQ$18,IF(Schedule!AK3=21,Schedule!#REF!))))))))))))))))))))))</f>
        <v>Art(1)/ Stop 7</v>
      </c>
      <c r="AK3" s="72" t="str">
        <f>IF(Schedule!AL3=0,Schedule!$AQ$3,IF(Schedule!AL3=1,Schedule!$AQ$4,IF(Schedule!AL3=2,Schedule!$AQ$5,IF(Schedule!AL3=3,Schedule!$AQ$6,IF(Schedule!AL3=4,Schedule!$AQ$7,IF(Schedule!AL3=5,Schedule!$AQ$8,IF(Schedule!AL3=6,Schedule!$AQ$9,IF(Schedule!AL3=7,Schedule!$AQ$10,IF(Schedule!AL3=8,Schedule!#REF!,IF(Schedule!AL3=9,Schedule!$AQ$12,IF(Schedule!AL3=10,Schedule!$AQ$13,IF(Schedule!AL3=11,Schedule!#REF!,IF(Schedule!AL3=12,Schedule!#REF!,IF(Schedule!AL3=13,Schedule!$AQ$14,IF(Schedule!AL3=14,Schedule!#REF!,IF(Schedule!AL3=15,Schedule!$AQ$15,IF(Schedule!AL3=16,Schedule!#REF!,IF(Schedule!AL3=17,Schedule!#REF!,IF(Schedule!AL3=18,Schedule!$AQ$16,IF(Schedule!AL3=19,Schedule!$AQ$17,IF(Schedule!AL3=20,Schedule!$AQ$18,IF(Schedule!AL3=21,Schedule!#REF!))))))))))))))))))))))</f>
        <v>Stop 7(2)</v>
      </c>
    </row>
    <row r="4" spans="1:37" ht="22" customHeight="1" x14ac:dyDescent="0.2">
      <c r="A4" s="67" t="str">
        <f>Schedule!D4</f>
        <v>Doe</v>
      </c>
      <c r="B4" s="67" t="e">
        <f>Schedule!#REF!</f>
        <v>#REF!</v>
      </c>
      <c r="C4" s="54"/>
      <c r="D4" s="54"/>
      <c r="E4" s="54"/>
      <c r="F4" s="64"/>
      <c r="G4" s="72" t="str">
        <f>IF(Schedule!E4=0,Schedule!$AQ$3,IF(Schedule!E4=1,Schedule!$AQ$4,IF(Schedule!E4=2,Schedule!$AQ$5,IF(Schedule!E4=3,Schedule!$AQ$6,IF(Schedule!E4=4,Schedule!$AQ$7,IF(Schedule!E4=5,Schedule!$AQ$8,IF(Schedule!E4=6,Schedule!$AQ$9,IF(Schedule!E4=7,Schedule!$AQ$10,IF(Schedule!E4=8,Schedule!#REF!,IF(Schedule!E4=9,Schedule!$AQ$12,IF(Schedule!E4=10,Schedule!$AQ$13,IF(Schedule!E4=11,Schedule!#REF!,IF(Schedule!E4=12,Schedule!#REF!,IF(Schedule!E4=13,Schedule!$AQ$14,IF(Schedule!E4=14,Schedule!#REF!,IF(Schedule!E4=15,Schedule!$AQ$15,IF(Schedule!E4=16,Schedule!#REF!,IF(Schedule!E4=17,Schedule!#REF!,IF(Schedule!E4=18,Schedule!$AQ$16,IF(Schedule!E4=19,Schedule!$AQ$17,IF(Schedule!E4=20,Schedule!$AQ$18,IF(Schedule!E4=21,Schedule!#REF!))))))))))))))))))))))</f>
        <v>Art(1)/ Stop 7</v>
      </c>
      <c r="H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J4" s="72" t="str">
        <f>IF(Schedule!J4=0,Schedule!$AQ$3,IF(Schedule!J4=1,Schedule!$AQ$4,IF(Schedule!J4=2,Schedule!$AQ$5,IF(Schedule!J4=3,Schedule!$AQ$6,IF(Schedule!J4=4,Schedule!$AQ$7,IF(Schedule!J4=5,Schedule!$AQ$8,IF(Schedule!J4=6,Schedule!$AQ$9,IF(Schedule!J4=7,Schedule!$AQ$10,IF(Schedule!J4=8,Schedule!#REF!,IF(Schedule!J4=9,Schedule!$AQ$12,IF(Schedule!J4=10,Schedule!$AQ$13,IF(Schedule!J4=11,Schedule!#REF!,IF(Schedule!J4=12,Schedule!#REF!,IF(Schedule!J4=13,Schedule!$AQ$14,IF(Schedule!J4=14,Schedule!#REF!,IF(Schedule!J4=15,Schedule!$AQ$15,IF(Schedule!J4=16,Schedule!#REF!,IF(Schedule!J4=17,Schedule!#REF!,IF(Schedule!J4=18,Schedule!$AQ$16,IF(Schedule!J4=19,Schedule!$AQ$17,IF(Schedule!J4=20,Schedule!$AQ$18,IF(Schedule!J4=21,Schedule!#REF!))))))))))))))))))))))</f>
        <v>Stop 14(2)</v>
      </c>
      <c r="K4" s="72" t="str">
        <f>IF(Schedule!K4=0,Schedule!$AQ$3,IF(Schedule!K4=1,Schedule!$AQ$4,IF(Schedule!K4=2,Schedule!$AQ$5,IF(Schedule!K4=3,Schedule!$AQ$6,IF(Schedule!K4=4,Schedule!$AQ$7,IF(Schedule!K4=5,Schedule!$AQ$8,IF(Schedule!K4=6,Schedule!$AQ$9,IF(Schedule!K4=7,Schedule!$AQ$10,IF(Schedule!K4=8,Schedule!#REF!,IF(Schedule!K4=9,Schedule!$AQ$12,IF(Schedule!K4=10,Schedule!$AQ$13,IF(Schedule!K4=11,Schedule!#REF!,IF(Schedule!K4=12,Schedule!#REF!,IF(Schedule!K4=13,Schedule!$AQ$14,IF(Schedule!K4=14,Schedule!#REF!,IF(Schedule!K4=15,Schedule!$AQ$15,IF(Schedule!K4=16,Schedule!#REF!,IF(Schedule!K4=17,Schedule!#REF!,IF(Schedule!K4=18,Schedule!$AQ$16,IF(Schedule!K4=19,Schedule!$AQ$17,IF(Schedule!K4=20,Schedule!$AQ$18,IF(Schedule!K4=21,Schedule!#REF!))))))))))))))))))))))</f>
        <v>OFF</v>
      </c>
      <c r="L4" s="72" t="str">
        <f>IF(Schedule!M4=0,Schedule!$AQ$3,IF(Schedule!M4=1,Schedule!$AQ$4,IF(Schedule!M4=2,Schedule!$AQ$5,IF(Schedule!M4=3,Schedule!$AQ$6,IF(Schedule!M4=4,Schedule!$AQ$7,IF(Schedule!M4=5,Schedule!$AQ$8,IF(Schedule!M4=6,Schedule!$AQ$9,IF(Schedule!M4=7,Schedule!$AQ$10,IF(Schedule!M4=8,Schedule!#REF!,IF(Schedule!M4=9,Schedule!$AQ$12,IF(Schedule!M4=10,Schedule!$AQ$13,IF(Schedule!M4=11,Schedule!#REF!,IF(Schedule!M4=12,Schedule!#REF!,IF(Schedule!M4=13,Schedule!$AQ$14,IF(Schedule!M4=14,Schedule!#REF!,IF(Schedule!M4=15,Schedule!$AQ$15,IF(Schedule!M4=16,Schedule!#REF!,IF(Schedule!M4=17,Schedule!#REF!,IF(Schedule!M4=18,Schedule!$AQ$16,IF(Schedule!M4=19,Schedule!$AQ$17,IF(Schedule!M4=20,Schedule!$AQ$18,IF(Schedule!M4=21,Schedule!#REF!))))))))))))))))))))))</f>
        <v>Stop 7(2)/ 5&amp;9</v>
      </c>
      <c r="M4" s="72" t="str">
        <f>IF(Schedule!N4=0,Schedule!$AQ$3,IF(Schedule!N4=1,Schedule!$AQ$4,IF(Schedule!N4=2,Schedule!$AQ$5,IF(Schedule!N4=3,Schedule!$AQ$6,IF(Schedule!N4=4,Schedule!$AQ$7,IF(Schedule!N4=5,Schedule!$AQ$8,IF(Schedule!N4=6,Schedule!$AQ$9,IF(Schedule!N4=7,Schedule!$AQ$10,IF(Schedule!N4=8,Schedule!#REF!,IF(Schedule!N4=9,Schedule!$AQ$12,IF(Schedule!N4=10,Schedule!$AQ$13,IF(Schedule!N4=11,Schedule!#REF!,IF(Schedule!N4=12,Schedule!#REF!,IF(Schedule!N4=13,Schedule!$AQ$14,IF(Schedule!N4=14,Schedule!#REF!,IF(Schedule!N4=15,Schedule!$AQ$15,IF(Schedule!N4=16,Schedule!#REF!,IF(Schedule!N4=17,Schedule!#REF!,IF(Schedule!N4=18,Schedule!$AQ$16,IF(Schedule!N4=19,Schedule!$AQ$17,IF(Schedule!N4=20,Schedule!$AQ$18,IF(Schedule!N4=21,Schedule!#REF!))))))))))))))))))))))</f>
        <v>Stop 14(2)</v>
      </c>
      <c r="N4" s="72" t="str">
        <f>IF(Schedule!O4=0,Schedule!$AQ$3,IF(Schedule!O4=1,Schedule!$AQ$4,IF(Schedule!O4=2,Schedule!$AQ$5,IF(Schedule!O4=3,Schedule!$AQ$6,IF(Schedule!O4=4,Schedule!$AQ$7,IF(Schedule!O4=5,Schedule!$AQ$8,IF(Schedule!O4=6,Schedule!$AQ$9,IF(Schedule!O4=7,Schedule!$AQ$10,IF(Schedule!O4=8,Schedule!#REF!,IF(Schedule!O4=9,Schedule!$AQ$12,IF(Schedule!O4=10,Schedule!$AQ$13,IF(Schedule!O4=11,Schedule!#REF!,IF(Schedule!O4=12,Schedule!#REF!,IF(Schedule!O4=13,Schedule!$AQ$14,IF(Schedule!O4=14,Schedule!#REF!,IF(Schedule!O4=15,Schedule!$AQ$15,IF(Schedule!O4=16,Schedule!#REF!,IF(Schedule!O4=17,Schedule!#REF!,IF(Schedule!O4=18,Schedule!$AQ$16,IF(Schedule!O4=19,Schedule!$AQ$17,IF(Schedule!O4=20,Schedule!$AQ$18,IF(Schedule!O4=21,Schedule!#REF!))))))))))))))))))))))</f>
        <v xml:space="preserve">VC(1)/ Booth </v>
      </c>
      <c r="O4" s="72" t="str">
        <f>IF(Schedule!P4=0,Schedule!$AQ$3,IF(Schedule!P4=1,Schedule!$AQ$4,IF(Schedule!P4=2,Schedule!$AQ$5,IF(Schedule!P4=3,Schedule!$AQ$6,IF(Schedule!P4=4,Schedule!$AQ$7,IF(Schedule!P4=5,Schedule!$AQ$8,IF(Schedule!P4=6,Schedule!$AQ$9,IF(Schedule!P4=7,Schedule!$AQ$10,IF(Schedule!P4=8,Schedule!#REF!,IF(Schedule!P4=9,Schedule!$AQ$12,IF(Schedule!P4=10,Schedule!$AQ$13,IF(Schedule!P4=11,Schedule!#REF!,IF(Schedule!P4=12,Schedule!#REF!,IF(Schedule!P4=13,Schedule!$AQ$14,IF(Schedule!P4=14,Schedule!#REF!,IF(Schedule!P4=15,Schedule!$AQ$15,IF(Schedule!P4=16,Schedule!#REF!,IF(Schedule!P4=17,Schedule!#REF!,IF(Schedule!P4=18,Schedule!$AQ$16,IF(Schedule!P4=19,Schedule!$AQ$17,IF(Schedule!P4=20,Schedule!$AQ$18,IF(Schedule!P4=21,Schedule!#REF!))))))))))))))))))))))</f>
        <v>OFF</v>
      </c>
      <c r="P4" s="72" t="str">
        <f>IF(Schedule!Q4=0,Schedule!$AQ$3,IF(Schedule!Q4=1,Schedule!$AQ$4,IF(Schedule!Q4=2,Schedule!$AQ$5,IF(Schedule!Q4=3,Schedule!$AQ$6,IF(Schedule!Q4=4,Schedule!$AQ$7,IF(Schedule!Q4=5,Schedule!$AQ$8,IF(Schedule!Q4=6,Schedule!$AQ$9,IF(Schedule!Q4=7,Schedule!$AQ$10,IF(Schedule!Q4=8,Schedule!#REF!,IF(Schedule!Q4=9,Schedule!$AQ$12,IF(Schedule!Q4=10,Schedule!$AQ$13,IF(Schedule!Q4=11,Schedule!#REF!,IF(Schedule!Q4=12,Schedule!#REF!,IF(Schedule!Q4=13,Schedule!$AQ$14,IF(Schedule!Q4=14,Schedule!#REF!,IF(Schedule!Q4=15,Schedule!$AQ$15,IF(Schedule!Q4=16,Schedule!#REF!,IF(Schedule!Q4=17,Schedule!#REF!,IF(Schedule!Q4=18,Schedule!$AQ$16,IF(Schedule!Q4=19,Schedule!$AQ$17,IF(Schedule!Q4=20,Schedule!$AQ$18,IF(Schedule!Q4=21,Schedule!#REF!))))))))))))))))))))))</f>
        <v>OFF</v>
      </c>
      <c r="Q4" s="72" t="str">
        <f>IF(Schedule!R4=0,Schedule!$AQ$3,IF(Schedule!R4=1,Schedule!$AQ$4,IF(Schedule!R4=2,Schedule!$AQ$5,IF(Schedule!R4=3,Schedule!$AQ$6,IF(Schedule!R4=4,Schedule!$AQ$7,IF(Schedule!R4=5,Schedule!$AQ$8,IF(Schedule!R4=6,Schedule!$AQ$9,IF(Schedule!R4=7,Schedule!$AQ$10,IF(Schedule!R4=8,Schedule!#REF!,IF(Schedule!R4=9,Schedule!$AQ$12,IF(Schedule!R4=10,Schedule!$AQ$13,IF(Schedule!R4=11,Schedule!#REF!,IF(Schedule!R4=12,Schedule!#REF!,IF(Schedule!R4=13,Schedule!$AQ$14,IF(Schedule!R4=14,Schedule!#REF!,IF(Schedule!R4=15,Schedule!$AQ$15,IF(Schedule!R4=16,Schedule!#REF!,IF(Schedule!R4=17,Schedule!#REF!,IF(Schedule!R4=18,Schedule!$AQ$16,IF(Schedule!R4=19,Schedule!$AQ$17,IF(Schedule!R4=20,Schedule!$AQ$18,IF(Schedule!R4=21,Schedule!#REF!))))))))))))))))))))))</f>
        <v xml:space="preserve">Booth(2)/ VC </v>
      </c>
      <c r="R4" s="72" t="str">
        <f>IF(Schedule!S4=0,Schedule!$AQ$3,IF(Schedule!S4=1,Schedule!$AQ$4,IF(Schedule!S4=2,Schedule!$AQ$5,IF(Schedule!S4=3,Schedule!$AQ$6,IF(Schedule!S4=4,Schedule!$AQ$7,IF(Schedule!S4=5,Schedule!$AQ$8,IF(Schedule!S4=6,Schedule!$AQ$9,IF(Schedule!S4=7,Schedule!$AQ$10,IF(Schedule!S4=8,Schedule!#REF!,IF(Schedule!S4=9,Schedule!$AQ$12,IF(Schedule!S4=10,Schedule!$AQ$13,IF(Schedule!S4=11,Schedule!#REF!,IF(Schedule!S4=12,Schedule!#REF!,IF(Schedule!S4=13,Schedule!$AQ$14,IF(Schedule!S4=14,Schedule!#REF!,IF(Schedule!S4=15,Schedule!$AQ$15,IF(Schedule!S4=16,Schedule!#REF!,IF(Schedule!S4=17,Schedule!#REF!,IF(Schedule!S4=18,Schedule!$AQ$16,IF(Schedule!S4=19,Schedule!$AQ$17,IF(Schedule!S4=20,Schedule!$AQ$18,IF(Schedule!S4=21,Schedule!#REF!))))))))))))))))))))))</f>
        <v xml:space="preserve">Booth(1)/ VC </v>
      </c>
      <c r="S4" s="72" t="str">
        <f>IF(Schedule!T4=0,Schedule!$AQ$3,IF(Schedule!T4=1,Schedule!$AQ$4,IF(Schedule!T4=2,Schedule!$AQ$5,IF(Schedule!T4=3,Schedule!$AQ$6,IF(Schedule!T4=4,Schedule!$AQ$7,IF(Schedule!T4=5,Schedule!$AQ$8,IF(Schedule!T4=6,Schedule!$AQ$9,IF(Schedule!T4=7,Schedule!$AQ$10,IF(Schedule!T4=8,Schedule!#REF!,IF(Schedule!T4=9,Schedule!$AQ$12,IF(Schedule!T4=10,Schedule!$AQ$13,IF(Schedule!T4=11,Schedule!#REF!,IF(Schedule!T4=12,Schedule!#REF!,IF(Schedule!T4=13,Schedule!$AQ$14,IF(Schedule!T4=14,Schedule!#REF!,IF(Schedule!T4=15,Schedule!$AQ$15,IF(Schedule!T4=16,Schedule!#REF!,IF(Schedule!T4=17,Schedule!#REF!,IF(Schedule!T4=18,Schedule!$AQ$16,IF(Schedule!T4=19,Schedule!$AQ$17,IF(Schedule!T4=20,Schedule!$AQ$18,IF(Schedule!T4=21,Schedule!#REF!))))))))))))))))))))))</f>
        <v>OFF</v>
      </c>
      <c r="T4" s="72" t="str">
        <f>IF(Schedule!U4=0,Schedule!$AQ$3,IF(Schedule!U4=1,Schedule!$AQ$4,IF(Schedule!U4=2,Schedule!$AQ$5,IF(Schedule!U4=3,Schedule!$AQ$6,IF(Schedule!U4=4,Schedule!$AQ$7,IF(Schedule!U4=5,Schedule!$AQ$8,IF(Schedule!U4=6,Schedule!$AQ$9,IF(Schedule!U4=7,Schedule!$AQ$10,IF(Schedule!U4=8,Schedule!#REF!,IF(Schedule!U4=9,Schedule!$AQ$12,IF(Schedule!U4=10,Schedule!$AQ$13,IF(Schedule!U4=11,Schedule!#REF!,IF(Schedule!U4=12,Schedule!#REF!,IF(Schedule!U4=13,Schedule!$AQ$14,IF(Schedule!U4=14,Schedule!#REF!,IF(Schedule!U4=15,Schedule!$AQ$15,IF(Schedule!U4=16,Schedule!#REF!,IF(Schedule!U4=17,Schedule!#REF!,IF(Schedule!U4=18,Schedule!$AQ$16,IF(Schedule!U4=19,Schedule!$AQ$17,IF(Schedule!U4=20,Schedule!$AQ$18,IF(Schedule!U4=21,Schedule!#REF!))))))))))))))))))))))</f>
        <v>OFF</v>
      </c>
      <c r="U4" s="72" t="str">
        <f>IF(Schedule!V4=0,Schedule!$AQ$3,IF(Schedule!V4=1,Schedule!$AQ$4,IF(Schedule!V4=2,Schedule!$AQ$5,IF(Schedule!V4=3,Schedule!$AQ$6,IF(Schedule!V4=4,Schedule!$AQ$7,IF(Schedule!V4=5,Schedule!$AQ$8,IF(Schedule!V4=6,Schedule!$AQ$9,IF(Schedule!V4=7,Schedule!$AQ$10,IF(Schedule!V4=8,Schedule!#REF!,IF(Schedule!V4=9,Schedule!$AQ$12,IF(Schedule!V4=10,Schedule!$AQ$13,IF(Schedule!V4=11,Schedule!#REF!,IF(Schedule!V4=12,Schedule!#REF!,IF(Schedule!V4=13,Schedule!$AQ$14,IF(Schedule!V4=14,Schedule!#REF!,IF(Schedule!V4=15,Schedule!$AQ$15,IF(Schedule!V4=16,Schedule!#REF!,IF(Schedule!V4=17,Schedule!#REF!,IF(Schedule!V4=18,Schedule!$AQ$16,IF(Schedule!V4=19,Schedule!$AQ$17,IF(Schedule!V4=20,Schedule!$AQ$18,IF(Schedule!V4=21,Schedule!#REF!))))))))))))))))))))))</f>
        <v>Stop 7(2)/ 5&amp;9</v>
      </c>
      <c r="V4" s="72" t="str">
        <f>IF(Schedule!W4=0,Schedule!$AQ$3,IF(Schedule!W4=1,Schedule!$AQ$4,IF(Schedule!W4=2,Schedule!$AQ$5,IF(Schedule!W4=3,Schedule!$AQ$6,IF(Schedule!W4=4,Schedule!$AQ$7,IF(Schedule!W4=5,Schedule!$AQ$8,IF(Schedule!W4=6,Schedule!$AQ$9,IF(Schedule!W4=7,Schedule!$AQ$10,IF(Schedule!W4=8,Schedule!#REF!,IF(Schedule!W4=9,Schedule!$AQ$12,IF(Schedule!W4=10,Schedule!$AQ$13,IF(Schedule!W4=11,Schedule!#REF!,IF(Schedule!W4=12,Schedule!#REF!,IF(Schedule!W4=13,Schedule!$AQ$14,IF(Schedule!W4=14,Schedule!#REF!,IF(Schedule!W4=15,Schedule!$AQ$15,IF(Schedule!W4=16,Schedule!#REF!,IF(Schedule!W4=17,Schedule!#REF!,IF(Schedule!W4=18,Schedule!$AQ$16,IF(Schedule!W4=19,Schedule!$AQ$17,IF(Schedule!W4=20,Schedule!$AQ$18,IF(Schedule!W4=21,Schedule!#REF!))))))))))))))))))))))</f>
        <v xml:space="preserve">VC(1)/ Booth </v>
      </c>
      <c r="W4" s="72" t="str">
        <f>IF(Schedule!X4=0,Schedule!$AQ$3,IF(Schedule!X4=1,Schedule!$AQ$4,IF(Schedule!X4=2,Schedule!$AQ$5,IF(Schedule!X4=3,Schedule!$AQ$6,IF(Schedule!X4=4,Schedule!$AQ$7,IF(Schedule!X4=5,Schedule!$AQ$8,IF(Schedule!X4=6,Schedule!$AQ$9,IF(Schedule!X4=7,Schedule!$AQ$10,IF(Schedule!X4=8,Schedule!#REF!,IF(Schedule!X4=9,Schedule!$AQ$12,IF(Schedule!X4=10,Schedule!$AQ$13,IF(Schedule!X4=11,Schedule!#REF!,IF(Schedule!X4=12,Schedule!#REF!,IF(Schedule!X4=13,Schedule!$AQ$14,IF(Schedule!X4=14,Schedule!#REF!,IF(Schedule!X4=15,Schedule!$AQ$15,IF(Schedule!X4=16,Schedule!#REF!,IF(Schedule!X4=17,Schedule!#REF!,IF(Schedule!X4=18,Schedule!$AQ$16,IF(Schedule!X4=19,Schedule!$AQ$17,IF(Schedule!X4=20,Schedule!$AQ$18,IF(Schedule!X4=21,Schedule!#REF!))))))))))))))))))))))</f>
        <v xml:space="preserve">Booth(2)/ VC </v>
      </c>
      <c r="X4" s="72" t="str">
        <f>IF(Schedule!Y4=0,Schedule!$AQ$3,IF(Schedule!Y4=1,Schedule!$AQ$4,IF(Schedule!Y4=2,Schedule!$AQ$5,IF(Schedule!Y4=3,Schedule!$AQ$6,IF(Schedule!Y4=4,Schedule!$AQ$7,IF(Schedule!Y4=5,Schedule!$AQ$8,IF(Schedule!Y4=6,Schedule!$AQ$9,IF(Schedule!Y4=7,Schedule!$AQ$10,IF(Schedule!Y4=8,Schedule!#REF!,IF(Schedule!Y4=9,Schedule!$AQ$12,IF(Schedule!Y4=10,Schedule!$AQ$13,IF(Schedule!Y4=11,Schedule!#REF!,IF(Schedule!Y4=12,Schedule!#REF!,IF(Schedule!Y4=13,Schedule!$AQ$14,IF(Schedule!Y4=14,Schedule!#REF!,IF(Schedule!Y4=15,Schedule!$AQ$15,IF(Schedule!Y4=16,Schedule!#REF!,IF(Schedule!Y4=17,Schedule!#REF!,IF(Schedule!Y4=18,Schedule!$AQ$16,IF(Schedule!Y4=19,Schedule!$AQ$17,IF(Schedule!Y4=20,Schedule!$AQ$18,IF(Schedule!Y4=21,Schedule!#REF!))))))))))))))))))))))</f>
        <v>OFF</v>
      </c>
      <c r="Y4" s="72" t="str">
        <f>IF(Schedule!Z4=0,Schedule!$AQ$3,IF(Schedule!Z4=1,Schedule!$AQ$4,IF(Schedule!Z4=2,Schedule!$AQ$5,IF(Schedule!Z4=3,Schedule!$AQ$6,IF(Schedule!Z4=4,Schedule!$AQ$7,IF(Schedule!Z4=5,Schedule!$AQ$8,IF(Schedule!Z4=6,Schedule!$AQ$9,IF(Schedule!Z4=7,Schedule!$AQ$10,IF(Schedule!Z4=8,Schedule!#REF!,IF(Schedule!Z4=9,Schedule!$AQ$12,IF(Schedule!Z4=10,Schedule!$AQ$13,IF(Schedule!Z4=11,Schedule!#REF!,IF(Schedule!Z4=12,Schedule!#REF!,IF(Schedule!Z4=13,Schedule!$AQ$14,IF(Schedule!Z4=14,Schedule!#REF!,IF(Schedule!Z4=15,Schedule!$AQ$15,IF(Schedule!Z4=16,Schedule!#REF!,IF(Schedule!Z4=17,Schedule!#REF!,IF(Schedule!Z4=18,Schedule!$AQ$16,IF(Schedule!Z4=19,Schedule!$AQ$17,IF(Schedule!Z4=20,Schedule!$AQ$18,IF(Schedule!Z4=21,Schedule!#REF!))))))))))))))))))))))</f>
        <v>OFF</v>
      </c>
      <c r="Z4" s="72" t="str">
        <f>IF(Schedule!AA4=0,Schedule!$AQ$3,IF(Schedule!AA4=1,Schedule!$AQ$4,IF(Schedule!AA4=2,Schedule!$AQ$5,IF(Schedule!AA4=3,Schedule!$AQ$6,IF(Schedule!AA4=4,Schedule!$AQ$7,IF(Schedule!AA4=5,Schedule!$AQ$8,IF(Schedule!AA4=6,Schedule!$AQ$9,IF(Schedule!AA4=7,Schedule!$AQ$10,IF(Schedule!AA4=8,Schedule!#REF!,IF(Schedule!AA4=9,Schedule!$AQ$12,IF(Schedule!AA4=10,Schedule!$AQ$13,IF(Schedule!AA4=11,Schedule!#REF!,IF(Schedule!AA4=12,Schedule!#REF!,IF(Schedule!AA4=13,Schedule!$AQ$14,IF(Schedule!AA4=14,Schedule!#REF!,IF(Schedule!AA4=15,Schedule!$AQ$15,IF(Schedule!AA4=16,Schedule!#REF!,IF(Schedule!AA4=17,Schedule!#REF!,IF(Schedule!AA4=18,Schedule!$AQ$16,IF(Schedule!AA4=19,Schedule!$AQ$17,IF(Schedule!AA4=20,Schedule!$AQ$18,IF(Schedule!AA4=21,Schedule!#REF!))))))))))))))))))))))</f>
        <v xml:space="preserve">Booth(1)/ VC </v>
      </c>
      <c r="AA4" s="72" t="str">
        <f>IF(Schedule!AB4=0,Schedule!$AQ$3,IF(Schedule!AB4=1,Schedule!$AQ$4,IF(Schedule!AB4=2,Schedule!$AQ$5,IF(Schedule!AB4=3,Schedule!$AQ$6,IF(Schedule!AB4=4,Schedule!$AQ$7,IF(Schedule!AB4=5,Schedule!$AQ$8,IF(Schedule!AB4=6,Schedule!$AQ$9,IF(Schedule!AB4=7,Schedule!$AQ$10,IF(Schedule!AB4=8,Schedule!#REF!,IF(Schedule!AB4=9,Schedule!$AQ$12,IF(Schedule!AB4=10,Schedule!$AQ$13,IF(Schedule!AB4=11,Schedule!#REF!,IF(Schedule!AB4=12,Schedule!#REF!,IF(Schedule!AB4=13,Schedule!$AQ$14,IF(Schedule!AB4=14,Schedule!#REF!,IF(Schedule!AB4=15,Schedule!$AQ$15,IF(Schedule!AB4=16,Schedule!#REF!,IF(Schedule!AB4=17,Schedule!#REF!,IF(Schedule!AB4=18,Schedule!$AQ$16,IF(Schedule!AB4=19,Schedule!$AQ$17,IF(Schedule!AB4=20,Schedule!$AQ$18,IF(Schedule!AB4=21,Schedule!#REF!))))))))))))))))))))))</f>
        <v>Stop 7(2)</v>
      </c>
      <c r="AB4" s="72" t="str">
        <f>IF(Schedule!AC4=0,Schedule!$AQ$3,IF(Schedule!AC4=1,Schedule!$AQ$4,IF(Schedule!AC4=2,Schedule!$AQ$5,IF(Schedule!AC4=3,Schedule!$AQ$6,IF(Schedule!AC4=4,Schedule!$AQ$7,IF(Schedule!AC4=5,Schedule!$AQ$8,IF(Schedule!AC4=6,Schedule!$AQ$9,IF(Schedule!AC4=7,Schedule!$AQ$10,IF(Schedule!AC4=8,Schedule!#REF!,IF(Schedule!AC4=9,Schedule!$AQ$12,IF(Schedule!AC4=10,Schedule!$AQ$13,IF(Schedule!AC4=11,Schedule!#REF!,IF(Schedule!AC4=12,Schedule!#REF!,IF(Schedule!AC4=13,Schedule!$AQ$14,IF(Schedule!AC4=14,Schedule!#REF!,IF(Schedule!AC4=15,Schedule!$AQ$15,IF(Schedule!AC4=16,Schedule!#REF!,IF(Schedule!AC4=17,Schedule!#REF!,IF(Schedule!AC4=18,Schedule!$AQ$16,IF(Schedule!AC4=19,Schedule!$AQ$17,IF(Schedule!AC4=20,Schedule!$AQ$18,IF(Schedule!AC4=21,Schedule!#REF!))))))))))))))))))))))</f>
        <v>Art(1)/ Stop 7</v>
      </c>
      <c r="AC4" s="72" t="str">
        <f>IF(Schedule!AD4=0,Schedule!$AQ$3,IF(Schedule!AD4=1,Schedule!$AQ$4,IF(Schedule!AD4=2,Schedule!$AQ$5,IF(Schedule!AD4=3,Schedule!$AQ$6,IF(Schedule!AD4=4,Schedule!$AQ$7,IF(Schedule!AD4=5,Schedule!$AQ$8,IF(Schedule!AD4=6,Schedule!$AQ$9,IF(Schedule!AD4=7,Schedule!$AQ$10,IF(Schedule!AD4=8,Schedule!#REF!,IF(Schedule!AD4=9,Schedule!$AQ$12,IF(Schedule!AD4=10,Schedule!$AQ$13,IF(Schedule!AD4=11,Schedule!#REF!,IF(Schedule!AD4=12,Schedule!#REF!,IF(Schedule!AD4=13,Schedule!$AQ$14,IF(Schedule!AD4=14,Schedule!#REF!,IF(Schedule!AD4=15,Schedule!$AQ$15,IF(Schedule!AD4=16,Schedule!#REF!,IF(Schedule!AD4=17,Schedule!#REF!,IF(Schedule!AD4=18,Schedule!$AQ$16,IF(Schedule!AD4=19,Schedule!$AQ$17,IF(Schedule!AD4=20,Schedule!$AQ$18,IF(Schedule!AD4=21,Schedule!#REF!))))))))))))))))))))))</f>
        <v>OFF</v>
      </c>
      <c r="AD4" s="72" t="str">
        <f>IF(Schedule!AE4=0,Schedule!$AQ$3,IF(Schedule!AE4=1,Schedule!$AQ$4,IF(Schedule!AE4=2,Schedule!$AQ$5,IF(Schedule!AE4=3,Schedule!$AQ$6,IF(Schedule!AE4=4,Schedule!$AQ$7,IF(Schedule!AE4=5,Schedule!$AQ$8,IF(Schedule!AE4=6,Schedule!$AQ$9,IF(Schedule!AE4=7,Schedule!$AQ$10,IF(Schedule!AE4=8,Schedule!#REF!,IF(Schedule!AE4=9,Schedule!$AQ$12,IF(Schedule!AE4=10,Schedule!$AQ$13,IF(Schedule!AE4=11,Schedule!#REF!,IF(Schedule!AE4=12,Schedule!#REF!,IF(Schedule!AE4=13,Schedule!$AQ$14,IF(Schedule!AE4=14,Schedule!#REF!,IF(Schedule!AE4=15,Schedule!$AQ$15,IF(Schedule!AE4=16,Schedule!#REF!,IF(Schedule!AE4=17,Schedule!#REF!,IF(Schedule!AE4=18,Schedule!$AQ$16,IF(Schedule!AE4=19,Schedule!$AQ$17,IF(Schedule!AE4=20,Schedule!$AQ$18,IF(Schedule!AE4=21,Schedule!#REF!))))))))))))))))))))))</f>
        <v>OFF</v>
      </c>
      <c r="AE4" s="72" t="e">
        <f>IF(Schedule!AF4=0,Schedule!$AQ$3,IF(Schedule!AF4=1,Schedule!$AQ$4,IF(Schedule!AF4=2,Schedule!$AQ$5,IF(Schedule!AF4=3,Schedule!$AQ$6,IF(Schedule!AF4=4,Schedule!$AQ$7,IF(Schedule!AF4=5,Schedule!$AQ$8,IF(Schedule!AF4=6,Schedule!$AQ$9,IF(Schedule!AF4=7,Schedule!$AQ$10,IF(Schedule!AF4=8,Schedule!#REF!,IF(Schedule!AF4=9,Schedule!$AQ$12,IF(Schedule!AF4=10,Schedule!$AQ$13,IF(Schedule!AF4=11,Schedule!#REF!,IF(Schedule!AF4=12,Schedule!#REF!,IF(Schedule!AF4=13,Schedule!$AQ$14,IF(Schedule!AF4=14,Schedule!#REF!,IF(Schedule!AF4=15,Schedule!$AQ$15,IF(Schedule!AF4=16,Schedule!#REF!,IF(Schedule!AF4=17,Schedule!#REF!,IF(Schedule!AF4=18,Schedule!$AQ$16,IF(Schedule!AF4=19,Schedule!$AQ$17,IF(Schedule!AF4=20,Schedule!$AQ$18,IF(Schedule!AF4=21,Schedule!#REF!))))))))))))))))))))))</f>
        <v>#REF!</v>
      </c>
      <c r="AF4" s="72" t="str">
        <f>IF(Schedule!AG4=0,Schedule!$AQ$3,IF(Schedule!AG4=1,Schedule!$AQ$4,IF(Schedule!AG4=2,Schedule!$AQ$5,IF(Schedule!AG4=3,Schedule!$AQ$6,IF(Schedule!AG4=4,Schedule!$AQ$7,IF(Schedule!AG4=5,Schedule!$AQ$8,IF(Schedule!AG4=6,Schedule!$AQ$9,IF(Schedule!AG4=7,Schedule!$AQ$10,IF(Schedule!AG4=8,Schedule!#REF!,IF(Schedule!AG4=9,Schedule!$AQ$12,IF(Schedule!AG4=10,Schedule!$AQ$13,IF(Schedule!AG4=11,Schedule!#REF!,IF(Schedule!AG4=12,Schedule!#REF!,IF(Schedule!AG4=13,Schedule!$AQ$14,IF(Schedule!AG4=14,Schedule!#REF!,IF(Schedule!AG4=15,Schedule!$AQ$15,IF(Schedule!AG4=16,Schedule!#REF!,IF(Schedule!AG4=17,Schedule!#REF!,IF(Schedule!AG4=18,Schedule!$AQ$16,IF(Schedule!AG4=19,Schedule!$AQ$17,IF(Schedule!AG4=20,Schedule!$AQ$18,IF(Schedule!AG4=21,Schedule!#REF!))))))))))))))))))))))</f>
        <v>Stop 7(2)</v>
      </c>
      <c r="AG4" s="72" t="str">
        <f>IF(Schedule!AH4=0,Schedule!$AQ$3,IF(Schedule!AH4=1,Schedule!$AQ$4,IF(Schedule!AH4=2,Schedule!$AQ$5,IF(Schedule!AH4=3,Schedule!$AQ$6,IF(Schedule!AH4=4,Schedule!$AQ$7,IF(Schedule!AH4=5,Schedule!$AQ$8,IF(Schedule!AH4=6,Schedule!$AQ$9,IF(Schedule!AH4=7,Schedule!$AQ$10,IF(Schedule!AH4=8,Schedule!#REF!,IF(Schedule!AH4=9,Schedule!$AQ$12,IF(Schedule!AH4=10,Schedule!$AQ$13,IF(Schedule!AH4=11,Schedule!#REF!,IF(Schedule!AH4=12,Schedule!#REF!,IF(Schedule!AH4=13,Schedule!$AQ$14,IF(Schedule!AH4=14,Schedule!#REF!,IF(Schedule!AH4=15,Schedule!$AQ$15,IF(Schedule!AH4=16,Schedule!#REF!,IF(Schedule!AH4=17,Schedule!#REF!,IF(Schedule!AH4=18,Schedule!$AQ$16,IF(Schedule!AH4=19,Schedule!$AQ$17,IF(Schedule!AH4=20,Schedule!$AQ$18,IF(Schedule!AH4=21,Schedule!#REF!))))))))))))))))))))))</f>
        <v>OFF</v>
      </c>
      <c r="AH4" s="72" t="str">
        <f>IF(Schedule!AI4=0,Schedule!$AQ$3,IF(Schedule!AI4=1,Schedule!$AQ$4,IF(Schedule!AI4=2,Schedule!$AQ$5,IF(Schedule!AI4=3,Schedule!$AQ$6,IF(Schedule!AI4=4,Schedule!$AQ$7,IF(Schedule!AI4=5,Schedule!$AQ$8,IF(Schedule!AI4=6,Schedule!$AQ$9,IF(Schedule!AI4=7,Schedule!$AQ$10,IF(Schedule!AI4=8,Schedule!#REF!,IF(Schedule!AI4=9,Schedule!$AQ$12,IF(Schedule!AI4=10,Schedule!$AQ$13,IF(Schedule!AI4=11,Schedule!#REF!,IF(Schedule!AI4=12,Schedule!#REF!,IF(Schedule!AI4=13,Schedule!$AQ$14,IF(Schedule!AI4=14,Schedule!#REF!,IF(Schedule!AI4=15,Schedule!$AQ$15,IF(Schedule!AI4=16,Schedule!#REF!,IF(Schedule!AI4=17,Schedule!#REF!,IF(Schedule!AI4=18,Schedule!$AQ$16,IF(Schedule!AI4=19,Schedule!$AQ$17,IF(Schedule!AI4=20,Schedule!$AQ$18,IF(Schedule!AI4=21,Schedule!#REF!))))))))))))))))))))))</f>
        <v>OFF</v>
      </c>
      <c r="AI4" s="72" t="str">
        <f>IF(Schedule!AJ4=0,Schedule!$AQ$3,IF(Schedule!AJ4=1,Schedule!$AQ$4,IF(Schedule!AJ4=2,Schedule!$AQ$5,IF(Schedule!AJ4=3,Schedule!$AQ$6,IF(Schedule!AJ4=4,Schedule!$AQ$7,IF(Schedule!AJ4=5,Schedule!$AQ$8,IF(Schedule!AJ4=6,Schedule!$AQ$9,IF(Schedule!AJ4=7,Schedule!$AQ$10,IF(Schedule!AJ4=8,Schedule!#REF!,IF(Schedule!AJ4=9,Schedule!$AQ$12,IF(Schedule!AJ4=10,Schedule!$AQ$13,IF(Schedule!AJ4=11,Schedule!#REF!,IF(Schedule!AJ4=12,Schedule!#REF!,IF(Schedule!AJ4=13,Schedule!$AQ$14,IF(Schedule!AJ4=14,Schedule!#REF!,IF(Schedule!AJ4=15,Schedule!$AQ$15,IF(Schedule!AJ4=16,Schedule!#REF!,IF(Schedule!AJ4=17,Schedule!#REF!,IF(Schedule!AJ4=18,Schedule!$AQ$16,IF(Schedule!AJ4=19,Schedule!$AQ$17,IF(Schedule!AJ4=20,Schedule!$AQ$18,IF(Schedule!AJ4=21,Schedule!#REF!))))))))))))))))))))))</f>
        <v xml:space="preserve">VC(2)/ Booth  </v>
      </c>
      <c r="AJ4" s="72" t="e">
        <f>IF(Schedule!AK4=0,Schedule!$AQ$3,IF(Schedule!AK4=1,Schedule!$AQ$4,IF(Schedule!AK4=2,Schedule!$AQ$5,IF(Schedule!AK4=3,Schedule!$AQ$6,IF(Schedule!AK4=4,Schedule!$AQ$7,IF(Schedule!AK4=5,Schedule!$AQ$8,IF(Schedule!AK4=6,Schedule!$AQ$9,IF(Schedule!AK4=7,Schedule!$AQ$10,IF(Schedule!AK4=8,Schedule!#REF!,IF(Schedule!AK4=9,Schedule!$AQ$12,IF(Schedule!AK4=10,Schedule!$AQ$13,IF(Schedule!AK4=11,Schedule!#REF!,IF(Schedule!AK4=12,Schedule!#REF!,IF(Schedule!AK4=13,Schedule!$AQ$14,IF(Schedule!AK4=14,Schedule!#REF!,IF(Schedule!AK4=15,Schedule!$AQ$15,IF(Schedule!AK4=16,Schedule!#REF!,IF(Schedule!AK4=17,Schedule!#REF!,IF(Schedule!AK4=18,Schedule!$AQ$16,IF(Schedule!AK4=19,Schedule!$AQ$17,IF(Schedule!AK4=20,Schedule!$AQ$18,IF(Schedule!AK4=21,Schedule!#REF!))))))))))))))))))))))</f>
        <v>#REF!</v>
      </c>
      <c r="AK4" s="72" t="str">
        <f>IF(Schedule!AL4=0,Schedule!$AQ$3,IF(Schedule!AL4=1,Schedule!$AQ$4,IF(Schedule!AL4=2,Schedule!$AQ$5,IF(Schedule!AL4=3,Schedule!$AQ$6,IF(Schedule!AL4=4,Schedule!$AQ$7,IF(Schedule!AL4=5,Schedule!$AQ$8,IF(Schedule!AL4=6,Schedule!$AQ$9,IF(Schedule!AL4=7,Schedule!$AQ$10,IF(Schedule!AL4=8,Schedule!#REF!,IF(Schedule!AL4=9,Schedule!$AQ$12,IF(Schedule!AL4=10,Schedule!$AQ$13,IF(Schedule!AL4=11,Schedule!#REF!,IF(Schedule!AL4=12,Schedule!#REF!,IF(Schedule!AL4=13,Schedule!$AQ$14,IF(Schedule!AL4=14,Schedule!#REF!,IF(Schedule!AL4=15,Schedule!$AQ$15,IF(Schedule!AL4=16,Schedule!#REF!,IF(Schedule!AL4=17,Schedule!#REF!,IF(Schedule!AL4=18,Schedule!$AQ$16,IF(Schedule!AL4=19,Schedule!$AQ$17,IF(Schedule!AL4=20,Schedule!$AQ$18,IF(Schedule!AL4=21,Schedule!#REF!))))))))))))))))))))))</f>
        <v>OFF</v>
      </c>
    </row>
    <row r="5" spans="1:37" ht="22" customHeight="1" x14ac:dyDescent="0.2">
      <c r="A5" s="67" t="str">
        <f>Schedule!D5</f>
        <v>Doe</v>
      </c>
      <c r="B5" s="67" t="str">
        <f>Schedule!C5</f>
        <v>Jane</v>
      </c>
      <c r="C5" s="54"/>
      <c r="D5" s="54"/>
      <c r="E5" s="54"/>
      <c r="F5" s="64"/>
      <c r="G5" s="72" t="str">
        <f>IF(Schedule!E5=0,Schedule!$AQ$3,IF(Schedule!E5=1,Schedule!$AQ$4,IF(Schedule!E5=2,Schedule!$AQ$5,IF(Schedule!E5=3,Schedule!$AQ$6,IF(Schedule!E5=4,Schedule!$AQ$7,IF(Schedule!E5=5,Schedule!$AQ$8,IF(Schedule!E5=6,Schedule!$AQ$9,IF(Schedule!E5=7,Schedule!$AQ$10,IF(Schedule!E5=8,Schedule!#REF!,IF(Schedule!E5=9,Schedule!$AQ$12,IF(Schedule!E5=10,Schedule!$AQ$13,IF(Schedule!E5=11,Schedule!#REF!,IF(Schedule!E5=12,Schedule!#REF!,IF(Schedule!E5=13,Schedule!$AQ$14,IF(Schedule!E5=14,Schedule!#REF!,IF(Schedule!E5=15,Schedule!$AQ$15,IF(Schedule!E5=16,Schedule!#REF!,IF(Schedule!E5=17,Schedule!#REF!,IF(Schedule!E5=18,Schedule!$AQ$16,IF(Schedule!E5=19,Schedule!$AQ$17,IF(Schedule!E5=20,Schedule!$AQ$18,IF(Schedule!E5=21,Schedule!#REF!))))))))))))))))))))))</f>
        <v>OFF</v>
      </c>
      <c r="H5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5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J5" s="72" t="str">
        <f>IF(Schedule!J5=0,Schedule!$AQ$3,IF(Schedule!J5=1,Schedule!$AQ$4,IF(Schedule!J5=2,Schedule!$AQ$5,IF(Schedule!J5=3,Schedule!$AQ$6,IF(Schedule!J5=4,Schedule!$AQ$7,IF(Schedule!J5=5,Schedule!$AQ$8,IF(Schedule!J5=6,Schedule!$AQ$9,IF(Schedule!J5=7,Schedule!$AQ$10,IF(Schedule!J5=8,Schedule!#REF!,IF(Schedule!J5=9,Schedule!$AQ$12,IF(Schedule!J5=10,Schedule!$AQ$13,IF(Schedule!J5=11,Schedule!#REF!,IF(Schedule!J5=12,Schedule!#REF!,IF(Schedule!J5=13,Schedule!$AQ$14,IF(Schedule!J5=14,Schedule!#REF!,IF(Schedule!J5=15,Schedule!$AQ$15,IF(Schedule!J5=16,Schedule!#REF!,IF(Schedule!J5=17,Schedule!#REF!,IF(Schedule!J5=18,Schedule!$AQ$16,IF(Schedule!J5=19,Schedule!$AQ$17,IF(Schedule!J5=20,Schedule!$AQ$18,IF(Schedule!J5=21,Schedule!#REF!))))))))))))))))))))))</f>
        <v>OFF</v>
      </c>
      <c r="K5" s="72" t="str">
        <f>IF(Schedule!K5=0,Schedule!$AQ$3,IF(Schedule!K5=1,Schedule!$AQ$4,IF(Schedule!K5=2,Schedule!$AQ$5,IF(Schedule!K5=3,Schedule!$AQ$6,IF(Schedule!K5=4,Schedule!$AQ$7,IF(Schedule!K5=5,Schedule!$AQ$8,IF(Schedule!K5=6,Schedule!$AQ$9,IF(Schedule!K5=7,Schedule!$AQ$10,IF(Schedule!K5=8,Schedule!#REF!,IF(Schedule!K5=9,Schedule!$AQ$12,IF(Schedule!K5=10,Schedule!$AQ$13,IF(Schedule!K5=11,Schedule!#REF!,IF(Schedule!K5=12,Schedule!#REF!,IF(Schedule!K5=13,Schedule!$AQ$14,IF(Schedule!K5=14,Schedule!#REF!,IF(Schedule!K5=15,Schedule!$AQ$15,IF(Schedule!K5=16,Schedule!#REF!,IF(Schedule!K5=17,Schedule!#REF!,IF(Schedule!K5=18,Schedule!$AQ$16,IF(Schedule!K5=19,Schedule!$AQ$17,IF(Schedule!K5=20,Schedule!$AQ$18,IF(Schedule!K5=21,Schedule!#REF!))))))))))))))))))))))</f>
        <v>OFF</v>
      </c>
      <c r="L5" s="72" t="str">
        <f>IF(Schedule!K20=0,Schedule!$AQ$3,IF(Schedule!K20=1,Schedule!$AQ$4,IF(Schedule!K20=2,Schedule!$AQ$5,IF(Schedule!K20=3,Schedule!$AQ$6,IF(Schedule!K20=4,Schedule!$AQ$7,IF(Schedule!K20=5,Schedule!$AQ$8,IF(Schedule!K20=6,Schedule!$AQ$9,IF(Schedule!K20=7,Schedule!$AQ$10,IF(Schedule!K20=8,Schedule!#REF!,IF(Schedule!K20=9,Schedule!$AQ$12,IF(Schedule!K20=10,Schedule!$AQ$13,IF(Schedule!K20=11,Schedule!#REF!,IF(Schedule!K20=12,Schedule!#REF!,IF(Schedule!K20=13,Schedule!$AQ$14,IF(Schedule!K20=14,Schedule!#REF!,IF(Schedule!K20=15,Schedule!$AQ$15,IF(Schedule!K20=16,Schedule!#REF!,IF(Schedule!K20=17,Schedule!#REF!,IF(Schedule!K20=18,Schedule!$AQ$16,IF(Schedule!K20=19,Schedule!$AQ$17,IF(Schedule!K20=20,Schedule!$AQ$18,IF(Schedule!K20=21,Schedule!#REF!))))))))))))))))))))))</f>
        <v>OFF</v>
      </c>
      <c r="M5" s="72" t="str">
        <f>IF(Schedule!N5=0,Schedule!$AQ$3,IF(Schedule!N5=1,Schedule!$AQ$4,IF(Schedule!N5=2,Schedule!$AQ$5,IF(Schedule!N5=3,Schedule!$AQ$6,IF(Schedule!N5=4,Schedule!$AQ$7,IF(Schedule!N5=5,Schedule!$AQ$8,IF(Schedule!N5=6,Schedule!$AQ$9,IF(Schedule!N5=7,Schedule!$AQ$10,IF(Schedule!N5=8,Schedule!#REF!,IF(Schedule!N5=9,Schedule!$AQ$12,IF(Schedule!N5=10,Schedule!$AQ$13,IF(Schedule!N5=11,Schedule!#REF!,IF(Schedule!N5=12,Schedule!#REF!,IF(Schedule!N5=13,Schedule!$AQ$14,IF(Schedule!N5=14,Schedule!#REF!,IF(Schedule!N5=15,Schedule!$AQ$15,IF(Schedule!N5=16,Schedule!#REF!,IF(Schedule!N5=17,Schedule!#REF!,IF(Schedule!N5=18,Schedule!$AQ$16,IF(Schedule!N5=19,Schedule!$AQ$17,IF(Schedule!N5=20,Schedule!$AQ$18,IF(Schedule!N5=21,Schedule!#REF!))))))))))))))))))))))</f>
        <v>OFF</v>
      </c>
      <c r="N5" s="72" t="str">
        <f>IF(Schedule!O5=0,Schedule!$AQ$3,IF(Schedule!O5=1,Schedule!$AQ$4,IF(Schedule!O5=2,Schedule!$AQ$5,IF(Schedule!O5=3,Schedule!$AQ$6,IF(Schedule!O5=4,Schedule!$AQ$7,IF(Schedule!O5=5,Schedule!$AQ$8,IF(Schedule!O5=6,Schedule!$AQ$9,IF(Schedule!O5=7,Schedule!$AQ$10,IF(Schedule!O5=8,Schedule!#REF!,IF(Schedule!O5=9,Schedule!$AQ$12,IF(Schedule!O5=10,Schedule!$AQ$13,IF(Schedule!O5=11,Schedule!#REF!,IF(Schedule!O5=12,Schedule!#REF!,IF(Schedule!O5=13,Schedule!$AQ$14,IF(Schedule!O5=14,Schedule!#REF!,IF(Schedule!O5=15,Schedule!$AQ$15,IF(Schedule!O5=16,Schedule!#REF!,IF(Schedule!O5=17,Schedule!#REF!,IF(Schedule!O5=18,Schedule!$AQ$16,IF(Schedule!O5=19,Schedule!$AQ$17,IF(Schedule!O5=20,Schedule!$AQ$18,IF(Schedule!O5=21,Schedule!#REF!))))))))))))))))))))))</f>
        <v>OFF</v>
      </c>
      <c r="O5" s="72" t="str">
        <f>IF(Schedule!P5=0,Schedule!$AQ$3,IF(Schedule!P5=1,Schedule!$AQ$4,IF(Schedule!P5=2,Schedule!$AQ$5,IF(Schedule!P5=3,Schedule!$AQ$6,IF(Schedule!P5=4,Schedule!$AQ$7,IF(Schedule!P5=5,Schedule!$AQ$8,IF(Schedule!P5=6,Schedule!$AQ$9,IF(Schedule!P5=7,Schedule!$AQ$10,IF(Schedule!P5=8,Schedule!#REF!,IF(Schedule!P5=9,Schedule!$AQ$12,IF(Schedule!P5=10,Schedule!$AQ$13,IF(Schedule!P5=11,Schedule!#REF!,IF(Schedule!P5=12,Schedule!#REF!,IF(Schedule!P5=13,Schedule!$AQ$14,IF(Schedule!P5=14,Schedule!#REF!,IF(Schedule!P5=15,Schedule!$AQ$15,IF(Schedule!P5=16,Schedule!#REF!,IF(Schedule!P5=17,Schedule!#REF!,IF(Schedule!P5=18,Schedule!$AQ$16,IF(Schedule!P5=19,Schedule!$AQ$17,IF(Schedule!P5=20,Schedule!$AQ$18,IF(Schedule!P5=21,Schedule!#REF!))))))))))))))))))))))</f>
        <v>Art(1)/ Stop 7</v>
      </c>
      <c r="P5" s="72" t="str">
        <f>IF(Schedule!Q5=0,Schedule!$AQ$3,IF(Schedule!Q5=1,Schedule!$AQ$4,IF(Schedule!Q5=2,Schedule!$AQ$5,IF(Schedule!Q5=3,Schedule!$AQ$6,IF(Schedule!Q5=4,Schedule!$AQ$7,IF(Schedule!Q5=5,Schedule!$AQ$8,IF(Schedule!Q5=6,Schedule!$AQ$9,IF(Schedule!Q5=7,Schedule!$AQ$10,IF(Schedule!Q5=8,Schedule!#REF!,IF(Schedule!Q5=9,Schedule!$AQ$12,IF(Schedule!Q5=10,Schedule!$AQ$13,IF(Schedule!Q5=11,Schedule!#REF!,IF(Schedule!Q5=12,Schedule!#REF!,IF(Schedule!Q5=13,Schedule!$AQ$14,IF(Schedule!Q5=14,Schedule!#REF!,IF(Schedule!Q5=15,Schedule!$AQ$15,IF(Schedule!Q5=16,Schedule!#REF!,IF(Schedule!Q5=17,Schedule!#REF!,IF(Schedule!Q5=18,Schedule!$AQ$16,IF(Schedule!Q5=19,Schedule!$AQ$17,IF(Schedule!Q5=20,Schedule!$AQ$18,IF(Schedule!Q5=21,Schedule!#REF!))))))))))))))))))))))</f>
        <v>Stop 14(2)</v>
      </c>
      <c r="Q5" s="72" t="str">
        <f>IF(Schedule!R5=0,Schedule!$AQ$3,IF(Schedule!R5=1,Schedule!$AQ$4,IF(Schedule!R5=2,Schedule!$AQ$5,IF(Schedule!R5=3,Schedule!$AQ$6,IF(Schedule!R5=4,Schedule!$AQ$7,IF(Schedule!R5=5,Schedule!$AQ$8,IF(Schedule!R5=6,Schedule!$AQ$9,IF(Schedule!R5=7,Schedule!$AQ$10,IF(Schedule!R5=8,Schedule!#REF!,IF(Schedule!R5=9,Schedule!$AQ$12,IF(Schedule!R5=10,Schedule!$AQ$13,IF(Schedule!R5=11,Schedule!#REF!,IF(Schedule!R5=12,Schedule!#REF!,IF(Schedule!R5=13,Schedule!$AQ$14,IF(Schedule!R5=14,Schedule!#REF!,IF(Schedule!R5=15,Schedule!$AQ$15,IF(Schedule!R5=16,Schedule!#REF!,IF(Schedule!R5=17,Schedule!#REF!,IF(Schedule!R5=18,Schedule!$AQ$16,IF(Schedule!R5=19,Schedule!$AQ$17,IF(Schedule!R5=20,Schedule!$AQ$18,IF(Schedule!R5=21,Schedule!#REF!))))))))))))))))))))))</f>
        <v>OFF</v>
      </c>
      <c r="R5" s="72" t="str">
        <f>IF(Schedule!S5=0,Schedule!$AQ$3,IF(Schedule!S5=1,Schedule!$AQ$4,IF(Schedule!S5=2,Schedule!$AQ$5,IF(Schedule!S5=3,Schedule!$AQ$6,IF(Schedule!S5=4,Schedule!$AQ$7,IF(Schedule!S5=5,Schedule!$AQ$8,IF(Schedule!S5=6,Schedule!$AQ$9,IF(Schedule!S5=7,Schedule!$AQ$10,IF(Schedule!S5=8,Schedule!#REF!,IF(Schedule!S5=9,Schedule!$AQ$12,IF(Schedule!S5=10,Schedule!$AQ$13,IF(Schedule!S5=11,Schedule!#REF!,IF(Schedule!S5=12,Schedule!#REF!,IF(Schedule!S5=13,Schedule!$AQ$14,IF(Schedule!S5=14,Schedule!#REF!,IF(Schedule!S5=15,Schedule!$AQ$15,IF(Schedule!S5=16,Schedule!#REF!,IF(Schedule!S5=17,Schedule!#REF!,IF(Schedule!S5=18,Schedule!$AQ$16,IF(Schedule!S5=19,Schedule!$AQ$17,IF(Schedule!S5=20,Schedule!$AQ$18,IF(Schedule!S5=21,Schedule!#REF!))))))))))))))))))))))</f>
        <v>OFF</v>
      </c>
      <c r="S5" s="72" t="str">
        <f>IF(Schedule!T5=0,Schedule!$AQ$3,IF(Schedule!T5=1,Schedule!$AQ$4,IF(Schedule!T5=2,Schedule!$AQ$5,IF(Schedule!T5=3,Schedule!$AQ$6,IF(Schedule!T5=4,Schedule!$AQ$7,IF(Schedule!T5=5,Schedule!$AQ$8,IF(Schedule!T5=6,Schedule!$AQ$9,IF(Schedule!T5=7,Schedule!$AQ$10,IF(Schedule!T5=8,Schedule!#REF!,IF(Schedule!T5=9,Schedule!$AQ$12,IF(Schedule!T5=10,Schedule!$AQ$13,IF(Schedule!T5=11,Schedule!#REF!,IF(Schedule!T5=12,Schedule!#REF!,IF(Schedule!T5=13,Schedule!$AQ$14,IF(Schedule!T5=14,Schedule!#REF!,IF(Schedule!T5=15,Schedule!$AQ$15,IF(Schedule!T5=16,Schedule!#REF!,IF(Schedule!T5=17,Schedule!#REF!,IF(Schedule!T5=18,Schedule!$AQ$16,IF(Schedule!T5=19,Schedule!$AQ$17,IF(Schedule!T5=20,Schedule!$AQ$18,IF(Schedule!T5=21,Schedule!#REF!))))))))))))))))))))))</f>
        <v xml:space="preserve">Booth(1)/ VC </v>
      </c>
      <c r="T5" s="72" t="str">
        <f>IF(Schedule!U5=0,Schedule!$AQ$3,IF(Schedule!U5=1,Schedule!$AQ$4,IF(Schedule!U5=2,Schedule!$AQ$5,IF(Schedule!U5=3,Schedule!$AQ$6,IF(Schedule!U5=4,Schedule!$AQ$7,IF(Schedule!U5=5,Schedule!$AQ$8,IF(Schedule!U5=6,Schedule!$AQ$9,IF(Schedule!U5=7,Schedule!$AQ$10,IF(Schedule!U5=8,Schedule!#REF!,IF(Schedule!U5=9,Schedule!$AQ$12,IF(Schedule!U5=10,Schedule!$AQ$13,IF(Schedule!U5=11,Schedule!#REF!,IF(Schedule!U5=12,Schedule!#REF!,IF(Schedule!U5=13,Schedule!$AQ$14,IF(Schedule!U5=14,Schedule!#REF!,IF(Schedule!U5=15,Schedule!$AQ$15,IF(Schedule!U5=16,Schedule!#REF!,IF(Schedule!U5=17,Schedule!#REF!,IF(Schedule!U5=18,Schedule!$AQ$16,IF(Schedule!U5=19,Schedule!$AQ$17,IF(Schedule!U5=20,Schedule!$AQ$18,IF(Schedule!U5=21,Schedule!#REF!))))))))))))))))))))))</f>
        <v xml:space="preserve">VC(2)/ Booth  </v>
      </c>
      <c r="U5" s="72" t="e">
        <f>IF(Schedule!V5=0,Schedule!$AQ$3,IF(Schedule!V5=1,Schedule!$AQ$4,IF(Schedule!V5=2,Schedule!$AQ$5,IF(Schedule!V5=3,Schedule!$AQ$6,IF(Schedule!V5=4,Schedule!$AQ$7,IF(Schedule!V5=5,Schedule!$AQ$8,IF(Schedule!V5=6,Schedule!$AQ$9,IF(Schedule!V5=7,Schedule!$AQ$10,IF(Schedule!V5=8,Schedule!#REF!,IF(Schedule!V5=9,Schedule!$AQ$12,IF(Schedule!V5=10,Schedule!$AQ$13,IF(Schedule!V5=11,Schedule!#REF!,IF(Schedule!V5=12,Schedule!#REF!,IF(Schedule!V5=13,Schedule!$AQ$14,IF(Schedule!V5=14,Schedule!#REF!,IF(Schedule!V5=15,Schedule!$AQ$15,IF(Schedule!V5=16,Schedule!#REF!,IF(Schedule!V5=17,Schedule!#REF!,IF(Schedule!V5=18,Schedule!$AQ$16,IF(Schedule!V5=19,Schedule!$AQ$17,IF(Schedule!V5=20,Schedule!$AQ$18,IF(Schedule!V5=21,Schedule!#REF!))))))))))))))))))))))</f>
        <v>#REF!</v>
      </c>
      <c r="V5" s="72" t="str">
        <f>IF(Schedule!W5=0,Schedule!$AQ$3,IF(Schedule!W5=1,Schedule!$AQ$4,IF(Schedule!W5=2,Schedule!$AQ$5,IF(Schedule!W5=3,Schedule!$AQ$6,IF(Schedule!W5=4,Schedule!$AQ$7,IF(Schedule!W5=5,Schedule!$AQ$8,IF(Schedule!W5=6,Schedule!$AQ$9,IF(Schedule!W5=7,Schedule!$AQ$10,IF(Schedule!W5=8,Schedule!#REF!,IF(Schedule!W5=9,Schedule!$AQ$12,IF(Schedule!W5=10,Schedule!$AQ$13,IF(Schedule!W5=11,Schedule!#REF!,IF(Schedule!W5=12,Schedule!#REF!,IF(Schedule!W5=13,Schedule!$AQ$14,IF(Schedule!W5=14,Schedule!#REF!,IF(Schedule!W5=15,Schedule!$AQ$15,IF(Schedule!W5=16,Schedule!#REF!,IF(Schedule!W5=17,Schedule!#REF!,IF(Schedule!W5=18,Schedule!$AQ$16,IF(Schedule!W5=19,Schedule!$AQ$17,IF(Schedule!W5=20,Schedule!$AQ$18,IF(Schedule!W5=21,Schedule!#REF!))))))))))))))))))))))</f>
        <v>OFF</v>
      </c>
      <c r="W5" s="72" t="str">
        <f>IF(Schedule!X5=0,Schedule!$AQ$3,IF(Schedule!X5=1,Schedule!$AQ$4,IF(Schedule!X5=2,Schedule!$AQ$5,IF(Schedule!X5=3,Schedule!$AQ$6,IF(Schedule!X5=4,Schedule!$AQ$7,IF(Schedule!X5=5,Schedule!$AQ$8,IF(Schedule!X5=6,Schedule!$AQ$9,IF(Schedule!X5=7,Schedule!$AQ$10,IF(Schedule!X5=8,Schedule!#REF!,IF(Schedule!X5=9,Schedule!$AQ$12,IF(Schedule!X5=10,Schedule!$AQ$13,IF(Schedule!X5=11,Schedule!#REF!,IF(Schedule!X5=12,Schedule!#REF!,IF(Schedule!X5=13,Schedule!$AQ$14,IF(Schedule!X5=14,Schedule!#REF!,IF(Schedule!X5=15,Schedule!$AQ$15,IF(Schedule!X5=16,Schedule!#REF!,IF(Schedule!X5=17,Schedule!#REF!,IF(Schedule!X5=18,Schedule!$AQ$16,IF(Schedule!X5=19,Schedule!$AQ$17,IF(Schedule!X5=20,Schedule!$AQ$18,IF(Schedule!X5=21,Schedule!#REF!))))))))))))))))))))))</f>
        <v>OFF</v>
      </c>
      <c r="X5" s="72" t="str">
        <f>IF(Schedule!Y5=0,Schedule!$AQ$3,IF(Schedule!Y5=1,Schedule!$AQ$4,IF(Schedule!Y5=2,Schedule!$AQ$5,IF(Schedule!Y5=3,Schedule!$AQ$6,IF(Schedule!Y5=4,Schedule!$AQ$7,IF(Schedule!Y5=5,Schedule!$AQ$8,IF(Schedule!Y5=6,Schedule!$AQ$9,IF(Schedule!Y5=7,Schedule!$AQ$10,IF(Schedule!Y5=8,Schedule!#REF!,IF(Schedule!Y5=9,Schedule!$AQ$12,IF(Schedule!Y5=10,Schedule!$AQ$13,IF(Schedule!Y5=11,Schedule!#REF!,IF(Schedule!Y5=12,Schedule!#REF!,IF(Schedule!Y5=13,Schedule!$AQ$14,IF(Schedule!Y5=14,Schedule!#REF!,IF(Schedule!Y5=15,Schedule!$AQ$15,IF(Schedule!Y5=16,Schedule!#REF!,IF(Schedule!Y5=17,Schedule!#REF!,IF(Schedule!Y5=18,Schedule!$AQ$16,IF(Schedule!Y5=19,Schedule!$AQ$17,IF(Schedule!Y5=20,Schedule!$AQ$18,IF(Schedule!Y5=21,Schedule!#REF!))))))))))))))))))))))</f>
        <v xml:space="preserve">VC(1)/ Booth </v>
      </c>
      <c r="Y5" s="72" t="e">
        <f>IF(Schedule!Z5=0,Schedule!$AQ$3,IF(Schedule!Z5=1,Schedule!$AQ$4,IF(Schedule!Z5=2,Schedule!$AQ$5,IF(Schedule!Z5=3,Schedule!$AQ$6,IF(Schedule!Z5=4,Schedule!$AQ$7,IF(Schedule!Z5=5,Schedule!$AQ$8,IF(Schedule!Z5=6,Schedule!$AQ$9,IF(Schedule!Z5=7,Schedule!$AQ$10,IF(Schedule!Z5=8,Schedule!#REF!,IF(Schedule!Z5=9,Schedule!$AQ$12,IF(Schedule!Z5=10,Schedule!$AQ$13,IF(Schedule!Z5=11,Schedule!#REF!,IF(Schedule!Z5=12,Schedule!#REF!,IF(Schedule!Z5=13,Schedule!$AQ$14,IF(Schedule!Z5=14,Schedule!#REF!,IF(Schedule!Z5=15,Schedule!$AQ$15,IF(Schedule!Z5=16,Schedule!#REF!,IF(Schedule!Z5=17,Schedule!#REF!,IF(Schedule!Z5=18,Schedule!$AQ$16,IF(Schedule!Z5=19,Schedule!$AQ$17,IF(Schedule!Z5=20,Schedule!$AQ$18,IF(Schedule!Z5=21,Schedule!#REF!))))))))))))))))))))))</f>
        <v>#REF!</v>
      </c>
      <c r="Z5" s="72" t="str">
        <f>IF(Schedule!AA5=0,Schedule!$AQ$3,IF(Schedule!AA5=1,Schedule!$AQ$4,IF(Schedule!AA5=2,Schedule!$AQ$5,IF(Schedule!AA5=3,Schedule!$AQ$6,IF(Schedule!AA5=4,Schedule!$AQ$7,IF(Schedule!AA5=5,Schedule!$AQ$8,IF(Schedule!AA5=6,Schedule!$AQ$9,IF(Schedule!AA5=7,Schedule!$AQ$10,IF(Schedule!AA5=8,Schedule!#REF!,IF(Schedule!AA5=9,Schedule!$AQ$12,IF(Schedule!AA5=10,Schedule!$AQ$13,IF(Schedule!AA5=11,Schedule!#REF!,IF(Schedule!AA5=12,Schedule!#REF!,IF(Schedule!AA5=13,Schedule!$AQ$14,IF(Schedule!AA5=14,Schedule!#REF!,IF(Schedule!AA5=15,Schedule!$AQ$15,IF(Schedule!AA5=16,Schedule!#REF!,IF(Schedule!AA5=17,Schedule!#REF!,IF(Schedule!AA5=18,Schedule!$AQ$16,IF(Schedule!AA5=19,Schedule!$AQ$17,IF(Schedule!AA5=20,Schedule!$AQ$18,IF(Schedule!AA5=21,Schedule!#REF!))))))))))))))))))))))</f>
        <v>OFF</v>
      </c>
      <c r="AA5" s="72" t="str">
        <f>IF(Schedule!AB5=0,Schedule!$AQ$3,IF(Schedule!AB5=1,Schedule!$AQ$4,IF(Schedule!AB5=2,Schedule!$AQ$5,IF(Schedule!AB5=3,Schedule!$AQ$6,IF(Schedule!AB5=4,Schedule!$AQ$7,IF(Schedule!AB5=5,Schedule!$AQ$8,IF(Schedule!AB5=6,Schedule!$AQ$9,IF(Schedule!AB5=7,Schedule!$AQ$10,IF(Schedule!AB5=8,Schedule!#REF!,IF(Schedule!AB5=9,Schedule!$AQ$12,IF(Schedule!AB5=10,Schedule!$AQ$13,IF(Schedule!AB5=11,Schedule!#REF!,IF(Schedule!AB5=12,Schedule!#REF!,IF(Schedule!AB5=13,Schedule!$AQ$14,IF(Schedule!AB5=14,Schedule!#REF!,IF(Schedule!AB5=15,Schedule!$AQ$15,IF(Schedule!AB5=16,Schedule!#REF!,IF(Schedule!AB5=17,Schedule!#REF!,IF(Schedule!AB5=18,Schedule!$AQ$16,IF(Schedule!AB5=19,Schedule!$AQ$17,IF(Schedule!AB5=20,Schedule!$AQ$18,IF(Schedule!AB5=21,Schedule!#REF!))))))))))))))))))))))</f>
        <v>OFF</v>
      </c>
      <c r="AB5" s="72" t="str">
        <f>IF(Schedule!AC5=0,Schedule!$AQ$3,IF(Schedule!AC5=1,Schedule!$AQ$4,IF(Schedule!AC5=2,Schedule!$AQ$5,IF(Schedule!AC5=3,Schedule!$AQ$6,IF(Schedule!AC5=4,Schedule!$AQ$7,IF(Schedule!AC5=5,Schedule!$AQ$8,IF(Schedule!AC5=6,Schedule!$AQ$9,IF(Schedule!AC5=7,Schedule!$AQ$10,IF(Schedule!AC5=8,Schedule!#REF!,IF(Schedule!AC5=9,Schedule!$AQ$12,IF(Schedule!AC5=10,Schedule!$AQ$13,IF(Schedule!AC5=11,Schedule!#REF!,IF(Schedule!AC5=12,Schedule!#REF!,IF(Schedule!AC5=13,Schedule!$AQ$14,IF(Schedule!AC5=14,Schedule!#REF!,IF(Schedule!AC5=15,Schedule!$AQ$15,IF(Schedule!AC5=16,Schedule!#REF!,IF(Schedule!AC5=17,Schedule!#REF!,IF(Schedule!AC5=18,Schedule!$AQ$16,IF(Schedule!AC5=19,Schedule!$AQ$17,IF(Schedule!AC5=20,Schedule!$AQ$18,IF(Schedule!AC5=21,Schedule!#REF!))))))))))))))))))))))</f>
        <v>Stop 7(2)</v>
      </c>
      <c r="AC5" s="72" t="str">
        <f>IF(Schedule!AD5=0,Schedule!$AQ$3,IF(Schedule!AD5=1,Schedule!$AQ$4,IF(Schedule!AD5=2,Schedule!$AQ$5,IF(Schedule!AD5=3,Schedule!$AQ$6,IF(Schedule!AD5=4,Schedule!$AQ$7,IF(Schedule!AD5=5,Schedule!$AQ$8,IF(Schedule!AD5=6,Schedule!$AQ$9,IF(Schedule!AD5=7,Schedule!$AQ$10,IF(Schedule!AD5=8,Schedule!#REF!,IF(Schedule!AD5=9,Schedule!$AQ$12,IF(Schedule!AD5=10,Schedule!$AQ$13,IF(Schedule!AD5=11,Schedule!#REF!,IF(Schedule!AD5=12,Schedule!#REF!,IF(Schedule!AD5=13,Schedule!$AQ$14,IF(Schedule!AD5=14,Schedule!#REF!,IF(Schedule!AD5=15,Schedule!$AQ$15,IF(Schedule!AD5=16,Schedule!#REF!,IF(Schedule!AD5=17,Schedule!#REF!,IF(Schedule!AD5=18,Schedule!$AQ$16,IF(Schedule!AD5=19,Schedule!$AQ$17,IF(Schedule!AD5=20,Schedule!$AQ$18,IF(Schedule!AD5=21,Schedule!#REF!))))))))))))))))))))))</f>
        <v>Stop 14(2)</v>
      </c>
      <c r="AD5" s="72" t="str">
        <f>IF(Schedule!AE5=0,Schedule!$AQ$3,IF(Schedule!AE5=1,Schedule!$AQ$4,IF(Schedule!AE5=2,Schedule!$AQ$5,IF(Schedule!AE5=3,Schedule!$AQ$6,IF(Schedule!AE5=4,Schedule!$AQ$7,IF(Schedule!AE5=5,Schedule!$AQ$8,IF(Schedule!AE5=6,Schedule!$AQ$9,IF(Schedule!AE5=7,Schedule!$AQ$10,IF(Schedule!AE5=8,Schedule!#REF!,IF(Schedule!AE5=9,Schedule!$AQ$12,IF(Schedule!AE5=10,Schedule!$AQ$13,IF(Schedule!AE5=11,Schedule!#REF!,IF(Schedule!AE5=12,Schedule!#REF!,IF(Schedule!AE5=13,Schedule!$AQ$14,IF(Schedule!AE5=14,Schedule!#REF!,IF(Schedule!AE5=15,Schedule!$AQ$15,IF(Schedule!AE5=16,Schedule!#REF!,IF(Schedule!AE5=17,Schedule!#REF!,IF(Schedule!AE5=18,Schedule!$AQ$16,IF(Schedule!AE5=19,Schedule!$AQ$17,IF(Schedule!AE5=20,Schedule!$AQ$18,IF(Schedule!AE5=21,Schedule!#REF!))))))))))))))))))))))</f>
        <v>OFF</v>
      </c>
      <c r="AE5" s="72" t="str">
        <f>IF(Schedule!AF5=0,Schedule!$AQ$3,IF(Schedule!AF5=1,Schedule!$AQ$4,IF(Schedule!AF5=2,Schedule!$AQ$5,IF(Schedule!AF5=3,Schedule!$AQ$6,IF(Schedule!AF5=4,Schedule!$AQ$7,IF(Schedule!AF5=5,Schedule!$AQ$8,IF(Schedule!AF5=6,Schedule!$AQ$9,IF(Schedule!AF5=7,Schedule!$AQ$10,IF(Schedule!AF5=8,Schedule!#REF!,IF(Schedule!AF5=9,Schedule!$AQ$12,IF(Schedule!AF5=10,Schedule!$AQ$13,IF(Schedule!AF5=11,Schedule!#REF!,IF(Schedule!AF5=12,Schedule!#REF!,IF(Schedule!AF5=13,Schedule!$AQ$14,IF(Schedule!AF5=14,Schedule!#REF!,IF(Schedule!AF5=15,Schedule!$AQ$15,IF(Schedule!AF5=16,Schedule!#REF!,IF(Schedule!AF5=17,Schedule!#REF!,IF(Schedule!AF5=18,Schedule!$AQ$16,IF(Schedule!AF5=19,Schedule!$AQ$17,IF(Schedule!AF5=20,Schedule!$AQ$18,IF(Schedule!AF5=21,Schedule!#REF!))))))))))))))))))))))</f>
        <v>OFF</v>
      </c>
      <c r="AF5" s="72" t="str">
        <f>IF(Schedule!AG5=0,Schedule!$AQ$3,IF(Schedule!AG5=1,Schedule!$AQ$4,IF(Schedule!AG5=2,Schedule!$AQ$5,IF(Schedule!AG5=3,Schedule!$AQ$6,IF(Schedule!AG5=4,Schedule!$AQ$7,IF(Schedule!AG5=5,Schedule!$AQ$8,IF(Schedule!AG5=6,Schedule!$AQ$9,IF(Schedule!AG5=7,Schedule!$AQ$10,IF(Schedule!AG5=8,Schedule!#REF!,IF(Schedule!AG5=9,Schedule!$AQ$12,IF(Schedule!AG5=10,Schedule!$AQ$13,IF(Schedule!AG5=11,Schedule!#REF!,IF(Schedule!AG5=12,Schedule!#REF!,IF(Schedule!AG5=13,Schedule!$AQ$14,IF(Schedule!AG5=14,Schedule!#REF!,IF(Schedule!AG5=15,Schedule!$AQ$15,IF(Schedule!AG5=16,Schedule!#REF!,IF(Schedule!AG5=17,Schedule!#REF!,IF(Schedule!AG5=18,Schedule!$AQ$16,IF(Schedule!AG5=19,Schedule!$AQ$17,IF(Schedule!AG5=20,Schedule!$AQ$18,IF(Schedule!AG5=21,Schedule!#REF!))))))))))))))))))))))</f>
        <v xml:space="preserve">Booth(1)/ VC </v>
      </c>
      <c r="AG5" s="72" t="str">
        <f>IF(Schedule!AH5=0,Schedule!$AQ$3,IF(Schedule!AH5=1,Schedule!$AQ$4,IF(Schedule!AH5=2,Schedule!$AQ$5,IF(Schedule!AH5=3,Schedule!$AQ$6,IF(Schedule!AH5=4,Schedule!$AQ$7,IF(Schedule!AH5=5,Schedule!$AQ$8,IF(Schedule!AH5=6,Schedule!$AQ$9,IF(Schedule!AH5=7,Schedule!$AQ$10,IF(Schedule!AH5=8,Schedule!#REF!,IF(Schedule!AH5=9,Schedule!$AQ$12,IF(Schedule!AH5=10,Schedule!$AQ$13,IF(Schedule!AH5=11,Schedule!#REF!,IF(Schedule!AH5=12,Schedule!#REF!,IF(Schedule!AH5=13,Schedule!$AQ$14,IF(Schedule!AH5=14,Schedule!#REF!,IF(Schedule!AH5=15,Schedule!$AQ$15,IF(Schedule!AH5=16,Schedule!#REF!,IF(Schedule!AH5=17,Schedule!#REF!,IF(Schedule!AH5=18,Schedule!$AQ$16,IF(Schedule!AH5=19,Schedule!$AQ$17,IF(Schedule!AH5=20,Schedule!$AQ$18,IF(Schedule!AH5=21,Schedule!#REF!))))))))))))))))))))))</f>
        <v>Stop 7(2)/ 5&amp;9</v>
      </c>
      <c r="AH5" s="72" t="str">
        <f>IF(Schedule!AI5=0,Schedule!$AQ$3,IF(Schedule!AI5=1,Schedule!$AQ$4,IF(Schedule!AI5=2,Schedule!$AQ$5,IF(Schedule!AI5=3,Schedule!$AQ$6,IF(Schedule!AI5=4,Schedule!$AQ$7,IF(Schedule!AI5=5,Schedule!$AQ$8,IF(Schedule!AI5=6,Schedule!$AQ$9,IF(Schedule!AI5=7,Schedule!$AQ$10,IF(Schedule!AI5=8,Schedule!#REF!,IF(Schedule!AI5=9,Schedule!$AQ$12,IF(Schedule!AI5=10,Schedule!$AQ$13,IF(Schedule!AI5=11,Schedule!#REF!,IF(Schedule!AI5=12,Schedule!#REF!,IF(Schedule!AI5=13,Schedule!$AQ$14,IF(Schedule!AI5=14,Schedule!#REF!,IF(Schedule!AI5=15,Schedule!$AQ$15,IF(Schedule!AI5=16,Schedule!#REF!,IF(Schedule!AI5=17,Schedule!#REF!,IF(Schedule!AI5=18,Schedule!$AQ$16,IF(Schedule!AI5=19,Schedule!$AQ$17,IF(Schedule!AI5=20,Schedule!$AQ$18,IF(Schedule!AI5=21,Schedule!#REF!))))))))))))))))))))))</f>
        <v>OFF</v>
      </c>
      <c r="AI5" s="72" t="str">
        <f>IF(Schedule!AJ5=0,Schedule!$AQ$3,IF(Schedule!AJ5=1,Schedule!$AQ$4,IF(Schedule!AJ5=2,Schedule!$AQ$5,IF(Schedule!AJ5=3,Schedule!$AQ$6,IF(Schedule!AJ5=4,Schedule!$AQ$7,IF(Schedule!AJ5=5,Schedule!$AQ$8,IF(Schedule!AJ5=6,Schedule!$AQ$9,IF(Schedule!AJ5=7,Schedule!$AQ$10,IF(Schedule!AJ5=8,Schedule!#REF!,IF(Schedule!AJ5=9,Schedule!$AQ$12,IF(Schedule!AJ5=10,Schedule!$AQ$13,IF(Schedule!AJ5=11,Schedule!#REF!,IF(Schedule!AJ5=12,Schedule!#REF!,IF(Schedule!AJ5=13,Schedule!$AQ$14,IF(Schedule!AJ5=14,Schedule!#REF!,IF(Schedule!AJ5=15,Schedule!$AQ$15,IF(Schedule!AJ5=16,Schedule!#REF!,IF(Schedule!AJ5=17,Schedule!#REF!,IF(Schedule!AJ5=18,Schedule!$AQ$16,IF(Schedule!AJ5=19,Schedule!$AQ$17,IF(Schedule!AJ5=20,Schedule!$AQ$18,IF(Schedule!AJ5=21,Schedule!#REF!))))))))))))))))))))))</f>
        <v>OFF</v>
      </c>
      <c r="AJ5" s="72" t="str">
        <f>IF(Schedule!AK5=0,Schedule!$AQ$3,IF(Schedule!AK5=1,Schedule!$AQ$4,IF(Schedule!AK5=2,Schedule!$AQ$5,IF(Schedule!AK5=3,Schedule!$AQ$6,IF(Schedule!AK5=4,Schedule!$AQ$7,IF(Schedule!AK5=5,Schedule!$AQ$8,IF(Schedule!AK5=6,Schedule!$AQ$9,IF(Schedule!AK5=7,Schedule!$AQ$10,IF(Schedule!AK5=8,Schedule!#REF!,IF(Schedule!AK5=9,Schedule!$AQ$12,IF(Schedule!AK5=10,Schedule!$AQ$13,IF(Schedule!AK5=11,Schedule!#REF!,IF(Schedule!AK5=12,Schedule!#REF!,IF(Schedule!AK5=13,Schedule!$AQ$14,IF(Schedule!AK5=14,Schedule!#REF!,IF(Schedule!AK5=15,Schedule!$AQ$15,IF(Schedule!AK5=16,Schedule!#REF!,IF(Schedule!AK5=17,Schedule!#REF!,IF(Schedule!AK5=18,Schedule!$AQ$16,IF(Schedule!AK5=19,Schedule!$AQ$17,IF(Schedule!AK5=20,Schedule!$AQ$18,IF(Schedule!AK5=21,Schedule!#REF!))))))))))))))))))))))</f>
        <v>Stop 14(2)</v>
      </c>
      <c r="AK5" s="72" t="str">
        <f>IF(Schedule!AL5=0,Schedule!$AQ$3,IF(Schedule!AL5=1,Schedule!$AQ$4,IF(Schedule!AL5=2,Schedule!$AQ$5,IF(Schedule!AL5=3,Schedule!$AQ$6,IF(Schedule!AL5=4,Schedule!$AQ$7,IF(Schedule!AL5=5,Schedule!$AQ$8,IF(Schedule!AL5=6,Schedule!$AQ$9,IF(Schedule!AL5=7,Schedule!$AQ$10,IF(Schedule!AL5=8,Schedule!#REF!,IF(Schedule!AL5=9,Schedule!$AQ$12,IF(Schedule!AL5=10,Schedule!$AQ$13,IF(Schedule!AL5=11,Schedule!#REF!,IF(Schedule!AL5=12,Schedule!#REF!,IF(Schedule!AL5=13,Schedule!$AQ$14,IF(Schedule!AL5=14,Schedule!#REF!,IF(Schedule!AL5=15,Schedule!$AQ$15,IF(Schedule!AL5=16,Schedule!#REF!,IF(Schedule!AL5=17,Schedule!#REF!,IF(Schedule!AL5=18,Schedule!$AQ$16,IF(Schedule!AL5=19,Schedule!$AQ$17,IF(Schedule!AL5=20,Schedule!$AQ$18,IF(Schedule!AL5=21,Schedule!#REF!))))))))))))))))))))))</f>
        <v xml:space="preserve">Booth(2)/ VC </v>
      </c>
    </row>
    <row r="6" spans="1:37" ht="22" customHeight="1" x14ac:dyDescent="0.2">
      <c r="A6" s="67" t="str">
        <f>Schedule!D6</f>
        <v>Doe</v>
      </c>
      <c r="B6" s="67" t="str">
        <f>Schedule!C6</f>
        <v>Jane</v>
      </c>
      <c r="C6" s="54"/>
      <c r="D6" s="54"/>
      <c r="E6" s="54"/>
      <c r="F6" s="64"/>
      <c r="G6" s="72" t="str">
        <f>IF(Schedule!E6=0,Schedule!$AQ$3,IF(Schedule!E6=1,Schedule!$AQ$4,IF(Schedule!E6=2,Schedule!$AQ$5,IF(Schedule!E6=3,Schedule!$AQ$6,IF(Schedule!E6=4,Schedule!$AQ$7,IF(Schedule!E6=5,Schedule!$AQ$8,IF(Schedule!E6=6,Schedule!$AQ$9,IF(Schedule!E6=7,Schedule!$AQ$10,IF(Schedule!E6=8,Schedule!#REF!,IF(Schedule!E6=9,Schedule!$AQ$12,IF(Schedule!E6=10,Schedule!$AQ$13,IF(Schedule!E6=11,Schedule!#REF!,IF(Schedule!E6=12,Schedule!#REF!,IF(Schedule!E6=13,Schedule!$AQ$14,IF(Schedule!E6=14,Schedule!#REF!,IF(Schedule!E6=15,Schedule!$AQ$15,IF(Schedule!E6=16,Schedule!#REF!,IF(Schedule!E6=17,Schedule!#REF!,IF(Schedule!E6=18,Schedule!$AQ$16,IF(Schedule!E6=19,Schedule!$AQ$17,IF(Schedule!E6=20,Schedule!$AQ$18,IF(Schedule!E6=21,Schedule!#REF!))))))))))))))))))))))</f>
        <v xml:space="preserve">Booth(1)/ VC </v>
      </c>
      <c r="H6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6" s="72" t="str">
        <f>IF(Schedule!F7=0,Schedule!$AQ$3,IF(Schedule!F7=1,Schedule!$AQ$4,IF(Schedule!F7=2,Schedule!$AQ$5,IF(Schedule!F7=3,Schedule!$AQ$6,IF(Schedule!F7=4,Schedule!$AQ$7,IF(Schedule!F7=5,Schedule!$AQ$8,IF(Schedule!F7=6,Schedule!$AQ$9,IF(Schedule!F7=7,Schedule!$AQ$10,IF(Schedule!F7=8,Schedule!#REF!,IF(Schedule!F7=9,Schedule!$AQ$12,IF(Schedule!F7=10,Schedule!$AQ$13,IF(Schedule!F7=11,Schedule!#REF!,IF(Schedule!F7=12,Schedule!#REF!,IF(Schedule!F7=13,Schedule!$AQ$14,IF(Schedule!F7=14,Schedule!#REF!,IF(Schedule!F7=15,Schedule!$AQ$15,IF(Schedule!F7=16,Schedule!#REF!,IF(Schedule!F7=17,Schedule!#REF!,IF(Schedule!F7=18,Schedule!$AQ$16,IF(Schedule!F7=19,Schedule!$AQ$17,IF(Schedule!F7=20,Schedule!$AQ$18,IF(Schedule!F7=21,Schedule!#REF!))))))))))))))))))))))</f>
        <v>OFF</v>
      </c>
      <c r="J6" s="72" t="str">
        <f>IF(Schedule!J6=0,Schedule!$AQ$3,IF(Schedule!J6=1,Schedule!$AQ$4,IF(Schedule!J6=2,Schedule!$AQ$5,IF(Schedule!J6=3,Schedule!$AQ$6,IF(Schedule!J6=4,Schedule!$AQ$7,IF(Schedule!J6=5,Schedule!$AQ$8,IF(Schedule!J6=6,Schedule!$AQ$9,IF(Schedule!J6=7,Schedule!$AQ$10,IF(Schedule!J6=8,Schedule!#REF!,IF(Schedule!J6=9,Schedule!$AQ$12,IF(Schedule!J6=10,Schedule!$AQ$13,IF(Schedule!J6=11,Schedule!#REF!,IF(Schedule!J6=12,Schedule!#REF!,IF(Schedule!J6=13,Schedule!$AQ$14,IF(Schedule!J6=14,Schedule!#REF!,IF(Schedule!J6=15,Schedule!$AQ$15,IF(Schedule!J6=16,Schedule!#REF!,IF(Schedule!J6=17,Schedule!#REF!,IF(Schedule!J6=18,Schedule!$AQ$16,IF(Schedule!J6=19,Schedule!$AQ$17,IF(Schedule!J6=20,Schedule!$AQ$18,IF(Schedule!J6=21,Schedule!#REF!))))))))))))))))))))))</f>
        <v xml:space="preserve">VC(2)/ Booth  </v>
      </c>
      <c r="K6" s="72" t="str">
        <f>IF(Schedule!K6=0,Schedule!$AQ$3,IF(Schedule!K6=1,Schedule!$AQ$4,IF(Schedule!K6=2,Schedule!$AQ$5,IF(Schedule!K6=3,Schedule!$AQ$6,IF(Schedule!K6=4,Schedule!$AQ$7,IF(Schedule!K6=5,Schedule!$AQ$8,IF(Schedule!K6=6,Schedule!$AQ$9,IF(Schedule!K6=7,Schedule!$AQ$10,IF(Schedule!K6=8,Schedule!#REF!,IF(Schedule!K6=9,Schedule!$AQ$12,IF(Schedule!K6=10,Schedule!$AQ$13,IF(Schedule!K6=11,Schedule!#REF!,IF(Schedule!K6=12,Schedule!#REF!,IF(Schedule!K6=13,Schedule!$AQ$14,IF(Schedule!K6=14,Schedule!#REF!,IF(Schedule!K6=15,Schedule!$AQ$15,IF(Schedule!K6=16,Schedule!#REF!,IF(Schedule!K6=17,Schedule!#REF!,IF(Schedule!K6=18,Schedule!$AQ$16,IF(Schedule!K6=19,Schedule!$AQ$17,IF(Schedule!K6=20,Schedule!$AQ$18,IF(Schedule!K6=21,Schedule!#REF!))))))))))))))))))))))</f>
        <v>OFF</v>
      </c>
      <c r="L6" s="72" t="e">
        <f>IF(Schedule!M6=0,Schedule!$AQ$3,IF(Schedule!M6=1,Schedule!$AQ$4,IF(Schedule!M6=2,Schedule!$AQ$5,IF(Schedule!M6=3,Schedule!$AQ$6,IF(Schedule!M6=4,Schedule!$AQ$7,IF(Schedule!M6=5,Schedule!$AQ$8,IF(Schedule!M6=6,Schedule!$AQ$9,IF(Schedule!M6=7,Schedule!$AQ$10,IF(Schedule!M6=8,Schedule!#REF!,IF(Schedule!M6=9,Schedule!$AQ$12,IF(Schedule!M6=10,Schedule!$AQ$13,IF(Schedule!M6=11,Schedule!#REF!,IF(Schedule!M6=12,Schedule!#REF!,IF(Schedule!M6=13,Schedule!$AQ$14,IF(Schedule!M6=14,Schedule!#REF!,IF(Schedule!M6=15,Schedule!$AQ$15,IF(Schedule!M6=16,Schedule!#REF!,IF(Schedule!M6=17,Schedule!#REF!,IF(Schedule!M6=18,Schedule!$AQ$16,IF(Schedule!M6=19,Schedule!$AQ$17,IF(Schedule!M6=20,Schedule!$AQ$18,IF(Schedule!M6=21,Schedule!#REF!))))))))))))))))))))))</f>
        <v>#REF!</v>
      </c>
      <c r="M6" s="72" t="str">
        <f>IF(Schedule!N6=0,Schedule!$AQ$3,IF(Schedule!N6=1,Schedule!$AQ$4,IF(Schedule!N6=2,Schedule!$AQ$5,IF(Schedule!N6=3,Schedule!$AQ$6,IF(Schedule!N6=4,Schedule!$AQ$7,IF(Schedule!N6=5,Schedule!$AQ$8,IF(Schedule!N6=6,Schedule!$AQ$9,IF(Schedule!N6=7,Schedule!$AQ$10,IF(Schedule!N6=8,Schedule!#REF!,IF(Schedule!N6=9,Schedule!$AQ$12,IF(Schedule!N6=10,Schedule!$AQ$13,IF(Schedule!N6=11,Schedule!#REF!,IF(Schedule!N6=12,Schedule!#REF!,IF(Schedule!N6=13,Schedule!$AQ$14,IF(Schedule!N6=14,Schedule!#REF!,IF(Schedule!N6=15,Schedule!$AQ$15,IF(Schedule!N6=16,Schedule!#REF!,IF(Schedule!N6=17,Schedule!#REF!,IF(Schedule!N6=18,Schedule!$AQ$16,IF(Schedule!N6=19,Schedule!$AQ$17,IF(Schedule!N6=20,Schedule!$AQ$18,IF(Schedule!N6=21,Schedule!#REF!))))))))))))))))))))))</f>
        <v>Stop 7(2)/ 5&amp;9</v>
      </c>
      <c r="N6" s="72" t="str">
        <f>IF(Schedule!O6=0,Schedule!$AQ$3,IF(Schedule!O6=1,Schedule!$AQ$4,IF(Schedule!O6=2,Schedule!$AQ$5,IF(Schedule!O6=3,Schedule!$AQ$6,IF(Schedule!O6=4,Schedule!$AQ$7,IF(Schedule!O6=5,Schedule!$AQ$8,IF(Schedule!O6=6,Schedule!$AQ$9,IF(Schedule!O6=7,Schedule!$AQ$10,IF(Schedule!O6=8,Schedule!#REF!,IF(Schedule!O6=9,Schedule!$AQ$12,IF(Schedule!O6=10,Schedule!$AQ$13,IF(Schedule!O6=11,Schedule!#REF!,IF(Schedule!O6=12,Schedule!#REF!,IF(Schedule!O6=13,Schedule!$AQ$14,IF(Schedule!O6=14,Schedule!#REF!,IF(Schedule!O6=15,Schedule!$AQ$15,IF(Schedule!O6=16,Schedule!#REF!,IF(Schedule!O6=17,Schedule!#REF!,IF(Schedule!O6=18,Schedule!$AQ$16,IF(Schedule!O6=19,Schedule!$AQ$17,IF(Schedule!O6=20,Schedule!$AQ$18,IF(Schedule!O6=21,Schedule!#REF!))))))))))))))))))))))</f>
        <v>OFF</v>
      </c>
      <c r="O6" s="72" t="str">
        <f>IF(Schedule!P6=0,Schedule!$AQ$3,IF(Schedule!P6=1,Schedule!$AQ$4,IF(Schedule!P6=2,Schedule!$AQ$5,IF(Schedule!P6=3,Schedule!$AQ$6,IF(Schedule!P6=4,Schedule!$AQ$7,IF(Schedule!P6=5,Schedule!$AQ$8,IF(Schedule!P6=6,Schedule!$AQ$9,IF(Schedule!P6=7,Schedule!$AQ$10,IF(Schedule!P6=8,Schedule!#REF!,IF(Schedule!P6=9,Schedule!$AQ$12,IF(Schedule!P6=10,Schedule!$AQ$13,IF(Schedule!P6=11,Schedule!#REF!,IF(Schedule!P6=12,Schedule!#REF!,IF(Schedule!P6=13,Schedule!$AQ$14,IF(Schedule!P6=14,Schedule!#REF!,IF(Schedule!P6=15,Schedule!$AQ$15,IF(Schedule!P6=16,Schedule!#REF!,IF(Schedule!P6=17,Schedule!#REF!,IF(Schedule!P6=18,Schedule!$AQ$16,IF(Schedule!P6=19,Schedule!$AQ$17,IF(Schedule!P6=20,Schedule!$AQ$18,IF(Schedule!P6=21,Schedule!#REF!))))))))))))))))))))))</f>
        <v>OFF</v>
      </c>
      <c r="P6" s="72" t="str">
        <f>IF(Schedule!Q6=0,Schedule!$AQ$3,IF(Schedule!Q6=1,Schedule!$AQ$4,IF(Schedule!Q6=2,Schedule!$AQ$5,IF(Schedule!Q6=3,Schedule!$AQ$6,IF(Schedule!Q6=4,Schedule!$AQ$7,IF(Schedule!Q6=5,Schedule!$AQ$8,IF(Schedule!Q6=6,Schedule!$AQ$9,IF(Schedule!Q6=7,Schedule!$AQ$10,IF(Schedule!Q6=8,Schedule!#REF!,IF(Schedule!Q6=9,Schedule!$AQ$12,IF(Schedule!Q6=10,Schedule!$AQ$13,IF(Schedule!Q6=11,Schedule!#REF!,IF(Schedule!Q6=12,Schedule!#REF!,IF(Schedule!Q6=13,Schedule!$AQ$14,IF(Schedule!Q6=14,Schedule!#REF!,IF(Schedule!Q6=15,Schedule!$AQ$15,IF(Schedule!Q6=16,Schedule!#REF!,IF(Schedule!Q6=17,Schedule!#REF!,IF(Schedule!Q6=18,Schedule!$AQ$16,IF(Schedule!Q6=19,Schedule!$AQ$17,IF(Schedule!Q6=20,Schedule!$AQ$18,IF(Schedule!Q6=21,Schedule!#REF!))))))))))))))))))))))</f>
        <v xml:space="preserve">VC(1)/ Booth </v>
      </c>
      <c r="Q6" s="72" t="str">
        <f>IF(Schedule!R6=0,Schedule!$AQ$3,IF(Schedule!R6=1,Schedule!$AQ$4,IF(Schedule!R6=2,Schedule!$AQ$5,IF(Schedule!R6=3,Schedule!$AQ$6,IF(Schedule!R6=4,Schedule!$AQ$7,IF(Schedule!R6=5,Schedule!$AQ$8,IF(Schedule!R6=6,Schedule!$AQ$9,IF(Schedule!R6=7,Schedule!$AQ$10,IF(Schedule!R6=8,Schedule!#REF!,IF(Schedule!R6=9,Schedule!$AQ$12,IF(Schedule!R6=10,Schedule!$AQ$13,IF(Schedule!R6=11,Schedule!#REF!,IF(Schedule!R6=12,Schedule!#REF!,IF(Schedule!R6=13,Schedule!$AQ$14,IF(Schedule!R6=14,Schedule!#REF!,IF(Schedule!R6=15,Schedule!$AQ$15,IF(Schedule!R6=16,Schedule!#REF!,IF(Schedule!R6=17,Schedule!#REF!,IF(Schedule!R6=18,Schedule!$AQ$16,IF(Schedule!R6=19,Schedule!$AQ$17,IF(Schedule!R6=20,Schedule!$AQ$18,IF(Schedule!R6=21,Schedule!#REF!))))))))))))))))))))))</f>
        <v>OFF</v>
      </c>
      <c r="R6" s="72" t="str">
        <f>IF(Schedule!S6=0,Schedule!$AQ$3,IF(Schedule!S6=1,Schedule!$AQ$4,IF(Schedule!S6=2,Schedule!$AQ$5,IF(Schedule!S6=3,Schedule!$AQ$6,IF(Schedule!S6=4,Schedule!$AQ$7,IF(Schedule!S6=5,Schedule!$AQ$8,IF(Schedule!S6=6,Schedule!$AQ$9,IF(Schedule!S6=7,Schedule!$AQ$10,IF(Schedule!S6=8,Schedule!#REF!,IF(Schedule!S6=9,Schedule!$AQ$12,IF(Schedule!S6=10,Schedule!$AQ$13,IF(Schedule!S6=11,Schedule!#REF!,IF(Schedule!S6=12,Schedule!#REF!,IF(Schedule!S6=13,Schedule!$AQ$14,IF(Schedule!S6=14,Schedule!#REF!,IF(Schedule!S6=15,Schedule!$AQ$15,IF(Schedule!S6=16,Schedule!#REF!,IF(Schedule!S6=17,Schedule!#REF!,IF(Schedule!S6=18,Schedule!$AQ$16,IF(Schedule!S6=19,Schedule!$AQ$17,IF(Schedule!S6=20,Schedule!$AQ$18,IF(Schedule!S6=21,Schedule!#REF!))))))))))))))))))))))</f>
        <v>Stop 14(2)</v>
      </c>
      <c r="S6" s="72" t="str">
        <f>IF(Schedule!T6=0,Schedule!$AQ$3,IF(Schedule!T6=1,Schedule!$AQ$4,IF(Schedule!T6=2,Schedule!$AQ$5,IF(Schedule!T6=3,Schedule!$AQ$6,IF(Schedule!T6=4,Schedule!$AQ$7,IF(Schedule!T6=5,Schedule!$AQ$8,IF(Schedule!T6=6,Schedule!$AQ$9,IF(Schedule!T6=7,Schedule!$AQ$10,IF(Schedule!T6=8,Schedule!#REF!,IF(Schedule!T6=9,Schedule!$AQ$12,IF(Schedule!T6=10,Schedule!$AQ$13,IF(Schedule!T6=11,Schedule!#REF!,IF(Schedule!T6=12,Schedule!#REF!,IF(Schedule!T6=13,Schedule!$AQ$14,IF(Schedule!T6=14,Schedule!#REF!,IF(Schedule!T6=15,Schedule!$AQ$15,IF(Schedule!T6=16,Schedule!#REF!,IF(Schedule!T6=17,Schedule!#REF!,IF(Schedule!T6=18,Schedule!$AQ$16,IF(Schedule!T6=19,Schedule!$AQ$17,IF(Schedule!T6=20,Schedule!$AQ$18,IF(Schedule!T6=21,Schedule!#REF!))))))))))))))))))))))</f>
        <v xml:space="preserve">Booth(2)/ VC </v>
      </c>
      <c r="T6" s="72" t="str">
        <f>IF(Schedule!U6=0,Schedule!$AQ$3,IF(Schedule!U6=1,Schedule!$AQ$4,IF(Schedule!U6=2,Schedule!$AQ$5,IF(Schedule!U6=3,Schedule!$AQ$6,IF(Schedule!U6=4,Schedule!$AQ$7,IF(Schedule!U6=5,Schedule!$AQ$8,IF(Schedule!U6=6,Schedule!$AQ$9,IF(Schedule!U6=7,Schedule!$AQ$10,IF(Schedule!U6=8,Schedule!#REF!,IF(Schedule!U6=9,Schedule!$AQ$12,IF(Schedule!U6=10,Schedule!$AQ$13,IF(Schedule!U6=11,Schedule!#REF!,IF(Schedule!U6=12,Schedule!#REF!,IF(Schedule!U6=13,Schedule!$AQ$14,IF(Schedule!U6=14,Schedule!#REF!,IF(Schedule!U6=15,Schedule!$AQ$15,IF(Schedule!U6=16,Schedule!#REF!,IF(Schedule!U6=17,Schedule!#REF!,IF(Schedule!U6=18,Schedule!$AQ$16,IF(Schedule!U6=19,Schedule!$AQ$17,IF(Schedule!U6=20,Schedule!$AQ$18,IF(Schedule!U6=21,Schedule!#REF!))))))))))))))))))))))</f>
        <v>OFF</v>
      </c>
      <c r="U6" s="72" t="str">
        <f>IF(Schedule!V6=0,Schedule!$AQ$3,IF(Schedule!V6=1,Schedule!$AQ$4,IF(Schedule!V6=2,Schedule!$AQ$5,IF(Schedule!V6=3,Schedule!$AQ$6,IF(Schedule!V6=4,Schedule!$AQ$7,IF(Schedule!V6=5,Schedule!$AQ$8,IF(Schedule!V6=6,Schedule!$AQ$9,IF(Schedule!V6=7,Schedule!$AQ$10,IF(Schedule!V6=8,Schedule!#REF!,IF(Schedule!V6=9,Schedule!$AQ$12,IF(Schedule!V6=10,Schedule!$AQ$13,IF(Schedule!V6=11,Schedule!#REF!,IF(Schedule!V6=12,Schedule!#REF!,IF(Schedule!V6=13,Schedule!$AQ$14,IF(Schedule!V6=14,Schedule!#REF!,IF(Schedule!V6=15,Schedule!$AQ$15,IF(Schedule!V6=16,Schedule!#REF!,IF(Schedule!V6=17,Schedule!#REF!,IF(Schedule!V6=18,Schedule!$AQ$16,IF(Schedule!V6=19,Schedule!$AQ$17,IF(Schedule!V6=20,Schedule!$AQ$18,IF(Schedule!V6=21,Schedule!#REF!))))))))))))))))))))))</f>
        <v>OFF</v>
      </c>
      <c r="V6" s="72" t="str">
        <f>IF(Schedule!W6=0,Schedule!$AQ$3,IF(Schedule!W6=1,Schedule!$AQ$4,IF(Schedule!W6=2,Schedule!$AQ$5,IF(Schedule!W6=3,Schedule!$AQ$6,IF(Schedule!W6=4,Schedule!$AQ$7,IF(Schedule!W6=5,Schedule!$AQ$8,IF(Schedule!W6=6,Schedule!$AQ$9,IF(Schedule!W6=7,Schedule!$AQ$10,IF(Schedule!W6=8,Schedule!#REF!,IF(Schedule!W6=9,Schedule!$AQ$12,IF(Schedule!W6=10,Schedule!$AQ$13,IF(Schedule!W6=11,Schedule!#REF!,IF(Schedule!W6=12,Schedule!#REF!,IF(Schedule!W6=13,Schedule!$AQ$14,IF(Schedule!W6=14,Schedule!#REF!,IF(Schedule!W6=15,Schedule!$AQ$15,IF(Schedule!W6=16,Schedule!#REF!,IF(Schedule!W6=17,Schedule!#REF!,IF(Schedule!W6=18,Schedule!$AQ$16,IF(Schedule!W6=19,Schedule!$AQ$17,IF(Schedule!W6=20,Schedule!$AQ$18,IF(Schedule!W6=21,Schedule!#REF!))))))))))))))))))))))</f>
        <v>Stop 14(2)</v>
      </c>
      <c r="W6" s="72" t="str">
        <f>IF(Schedule!X6=0,Schedule!$AQ$3,IF(Schedule!X6=1,Schedule!$AQ$4,IF(Schedule!X6=2,Schedule!$AQ$5,IF(Schedule!X6=3,Schedule!$AQ$6,IF(Schedule!X6=4,Schedule!$AQ$7,IF(Schedule!X6=5,Schedule!$AQ$8,IF(Schedule!X6=6,Schedule!$AQ$9,IF(Schedule!X6=7,Schedule!$AQ$10,IF(Schedule!X6=8,Schedule!#REF!,IF(Schedule!X6=9,Schedule!$AQ$12,IF(Schedule!X6=10,Schedule!$AQ$13,IF(Schedule!X6=11,Schedule!#REF!,IF(Schedule!X6=12,Schedule!#REF!,IF(Schedule!X6=13,Schedule!$AQ$14,IF(Schedule!X6=14,Schedule!#REF!,IF(Schedule!X6=15,Schedule!$AQ$15,IF(Schedule!X6=16,Schedule!#REF!,IF(Schedule!X6=17,Schedule!#REF!,IF(Schedule!X6=18,Schedule!$AQ$16,IF(Schedule!X6=19,Schedule!$AQ$17,IF(Schedule!X6=20,Schedule!$AQ$18,IF(Schedule!X6=21,Schedule!#REF!))))))))))))))))))))))</f>
        <v>Stop 7(2)</v>
      </c>
      <c r="X6" s="72" t="str">
        <f>IF(Schedule!Y6=0,Schedule!$AQ$3,IF(Schedule!Y6=1,Schedule!$AQ$4,IF(Schedule!Y6=2,Schedule!$AQ$5,IF(Schedule!Y6=3,Schedule!$AQ$6,IF(Schedule!Y6=4,Schedule!$AQ$7,IF(Schedule!Y6=5,Schedule!$AQ$8,IF(Schedule!Y6=6,Schedule!$AQ$9,IF(Schedule!Y6=7,Schedule!$AQ$10,IF(Schedule!Y6=8,Schedule!#REF!,IF(Schedule!Y6=9,Schedule!$AQ$12,IF(Schedule!Y6=10,Schedule!$AQ$13,IF(Schedule!Y6=11,Schedule!#REF!,IF(Schedule!Y6=12,Schedule!#REF!,IF(Schedule!Y6=13,Schedule!$AQ$14,IF(Schedule!Y6=14,Schedule!#REF!,IF(Schedule!Y6=15,Schedule!$AQ$15,IF(Schedule!Y6=16,Schedule!#REF!,IF(Schedule!Y6=17,Schedule!#REF!,IF(Schedule!Y6=18,Schedule!$AQ$16,IF(Schedule!Y6=19,Schedule!$AQ$17,IF(Schedule!Y6=20,Schedule!$AQ$18,IF(Schedule!Y6=21,Schedule!#REF!))))))))))))))))))))))</f>
        <v>OFF</v>
      </c>
      <c r="Y6" s="72" t="str">
        <f>IF(Schedule!Z6=0,Schedule!$AQ$3,IF(Schedule!Z6=1,Schedule!$AQ$4,IF(Schedule!Z6=2,Schedule!$AQ$5,IF(Schedule!Z6=3,Schedule!$AQ$6,IF(Schedule!Z6=4,Schedule!$AQ$7,IF(Schedule!Z6=5,Schedule!$AQ$8,IF(Schedule!Z6=6,Schedule!$AQ$9,IF(Schedule!Z6=7,Schedule!$AQ$10,IF(Schedule!Z6=8,Schedule!#REF!,IF(Schedule!Z6=9,Schedule!$AQ$12,IF(Schedule!Z6=10,Schedule!$AQ$13,IF(Schedule!Z6=11,Schedule!#REF!,IF(Schedule!Z6=12,Schedule!#REF!,IF(Schedule!Z6=13,Schedule!$AQ$14,IF(Schedule!Z6=14,Schedule!#REF!,IF(Schedule!Z6=15,Schedule!$AQ$15,IF(Schedule!Z6=16,Schedule!#REF!,IF(Schedule!Z6=17,Schedule!#REF!,IF(Schedule!Z6=18,Schedule!$AQ$16,IF(Schedule!Z6=19,Schedule!$AQ$17,IF(Schedule!Z6=20,Schedule!$AQ$18,IF(Schedule!Z6=21,Schedule!#REF!))))))))))))))))))))))</f>
        <v>OFF</v>
      </c>
      <c r="Z6" s="72" t="str">
        <f>IF(Schedule!AA6=0,Schedule!$AQ$3,IF(Schedule!AA6=1,Schedule!$AQ$4,IF(Schedule!AA6=2,Schedule!$AQ$5,IF(Schedule!AA6=3,Schedule!$AQ$6,IF(Schedule!AA6=4,Schedule!$AQ$7,IF(Schedule!AA6=5,Schedule!$AQ$8,IF(Schedule!AA6=6,Schedule!$AQ$9,IF(Schedule!AA6=7,Schedule!$AQ$10,IF(Schedule!AA6=8,Schedule!#REF!,IF(Schedule!AA6=9,Schedule!$AQ$12,IF(Schedule!AA6=10,Schedule!$AQ$13,IF(Schedule!AA6=11,Schedule!#REF!,IF(Schedule!AA6=12,Schedule!#REF!,IF(Schedule!AA6=13,Schedule!$AQ$14,IF(Schedule!AA6=14,Schedule!#REF!,IF(Schedule!AA6=15,Schedule!$AQ$15,IF(Schedule!AA6=16,Schedule!#REF!,IF(Schedule!AA6=17,Schedule!#REF!,IF(Schedule!AA6=18,Schedule!$AQ$16,IF(Schedule!AA6=19,Schedule!$AQ$17,IF(Schedule!AA6=20,Schedule!$AQ$18,IF(Schedule!AA6=21,Schedule!#REF!))))))))))))))))))))))</f>
        <v xml:space="preserve">VC(1)/ Booth </v>
      </c>
      <c r="AA6" s="72" t="str">
        <f>IF(Schedule!AB6=0,Schedule!$AQ$3,IF(Schedule!AB6=1,Schedule!$AQ$4,IF(Schedule!AB6=2,Schedule!$AQ$5,IF(Schedule!AB6=3,Schedule!$AQ$6,IF(Schedule!AB6=4,Schedule!$AQ$7,IF(Schedule!AB6=5,Schedule!$AQ$8,IF(Schedule!AB6=6,Schedule!$AQ$9,IF(Schedule!AB6=7,Schedule!$AQ$10,IF(Schedule!AB6=8,Schedule!#REF!,IF(Schedule!AB6=9,Schedule!$AQ$12,IF(Schedule!AB6=10,Schedule!$AQ$13,IF(Schedule!AB6=11,Schedule!#REF!,IF(Schedule!AB6=12,Schedule!#REF!,IF(Schedule!AB6=13,Schedule!$AQ$14,IF(Schedule!AB6=14,Schedule!#REF!,IF(Schedule!AB6=15,Schedule!$AQ$15,IF(Schedule!AB6=16,Schedule!#REF!,IF(Schedule!AB6=17,Schedule!#REF!,IF(Schedule!AB6=18,Schedule!$AQ$16,IF(Schedule!AB6=19,Schedule!$AQ$17,IF(Schedule!AB6=20,Schedule!$AQ$18,IF(Schedule!AB6=21,Schedule!#REF!))))))))))))))))))))))</f>
        <v>Stop 14(2)</v>
      </c>
      <c r="AB6" s="72" t="str">
        <f>IF(Schedule!AC6=0,Schedule!$AQ$3,IF(Schedule!AC6=1,Schedule!$AQ$4,IF(Schedule!AC6=2,Schedule!$AQ$5,IF(Schedule!AC6=3,Schedule!$AQ$6,IF(Schedule!AC6=4,Schedule!$AQ$7,IF(Schedule!AC6=5,Schedule!$AQ$8,IF(Schedule!AC6=6,Schedule!$AQ$9,IF(Schedule!AC6=7,Schedule!$AQ$10,IF(Schedule!AC6=8,Schedule!#REF!,IF(Schedule!AC6=9,Schedule!$AQ$12,IF(Schedule!AC6=10,Schedule!$AQ$13,IF(Schedule!AC6=11,Schedule!#REF!,IF(Schedule!AC6=12,Schedule!#REF!,IF(Schedule!AC6=13,Schedule!$AQ$14,IF(Schedule!AC6=14,Schedule!#REF!,IF(Schedule!AC6=15,Schedule!$AQ$15,IF(Schedule!AC6=16,Schedule!#REF!,IF(Schedule!AC6=17,Schedule!#REF!,IF(Schedule!AC6=18,Schedule!$AQ$16,IF(Schedule!AC6=19,Schedule!$AQ$17,IF(Schedule!AC6=20,Schedule!$AQ$18,IF(Schedule!AC6=21,Schedule!#REF!))))))))))))))))))))))</f>
        <v xml:space="preserve">Booth(2)/ VC </v>
      </c>
      <c r="AC6" s="72" t="str">
        <f>IF(Schedule!AD6=0,Schedule!$AQ$3,IF(Schedule!AD6=1,Schedule!$AQ$4,IF(Schedule!AD6=2,Schedule!$AQ$5,IF(Schedule!AD6=3,Schedule!$AQ$6,IF(Schedule!AD6=4,Schedule!$AQ$7,IF(Schedule!AD6=5,Schedule!$AQ$8,IF(Schedule!AD6=6,Schedule!$AQ$9,IF(Schedule!AD6=7,Schedule!$AQ$10,IF(Schedule!AD6=8,Schedule!#REF!,IF(Schedule!AD6=9,Schedule!$AQ$12,IF(Schedule!AD6=10,Schedule!$AQ$13,IF(Schedule!AD6=11,Schedule!#REF!,IF(Schedule!AD6=12,Schedule!#REF!,IF(Schedule!AD6=13,Schedule!$AQ$14,IF(Schedule!AD6=14,Schedule!#REF!,IF(Schedule!AD6=15,Schedule!$AQ$15,IF(Schedule!AD6=16,Schedule!#REF!,IF(Schedule!AD6=17,Schedule!#REF!,IF(Schedule!AD6=18,Schedule!$AQ$16,IF(Schedule!AD6=19,Schedule!$AQ$17,IF(Schedule!AD6=20,Schedule!$AQ$18,IF(Schedule!AD6=21,Schedule!#REF!))))))))))))))))))))))</f>
        <v>OFF</v>
      </c>
      <c r="AD6" s="72" t="str">
        <f>IF(Schedule!AE6=0,Schedule!$AQ$3,IF(Schedule!AE6=1,Schedule!$AQ$4,IF(Schedule!AE6=2,Schedule!$AQ$5,IF(Schedule!AE6=3,Schedule!$AQ$6,IF(Schedule!AE6=4,Schedule!$AQ$7,IF(Schedule!AE6=5,Schedule!$AQ$8,IF(Schedule!AE6=6,Schedule!$AQ$9,IF(Schedule!AE6=7,Schedule!$AQ$10,IF(Schedule!AE6=8,Schedule!#REF!,IF(Schedule!AE6=9,Schedule!$AQ$12,IF(Schedule!AE6=10,Schedule!$AQ$13,IF(Schedule!AE6=11,Schedule!#REF!,IF(Schedule!AE6=12,Schedule!#REF!,IF(Schedule!AE6=13,Schedule!$AQ$14,IF(Schedule!AE6=14,Schedule!#REF!,IF(Schedule!AE6=15,Schedule!$AQ$15,IF(Schedule!AE6=16,Schedule!#REF!,IF(Schedule!AE6=17,Schedule!#REF!,IF(Schedule!AE6=18,Schedule!$AQ$16,IF(Schedule!AE6=19,Schedule!$AQ$17,IF(Schedule!AE6=20,Schedule!$AQ$18,IF(Schedule!AE6=21,Schedule!#REF!))))))))))))))))))))))</f>
        <v>OFF</v>
      </c>
      <c r="AE6" s="72" t="str">
        <f>IF(Schedule!AF6=0,Schedule!$AQ$3,IF(Schedule!AF6=1,Schedule!$AQ$4,IF(Schedule!AF6=2,Schedule!$AQ$5,IF(Schedule!AF6=3,Schedule!$AQ$6,IF(Schedule!AF6=4,Schedule!$AQ$7,IF(Schedule!AF6=5,Schedule!$AQ$8,IF(Schedule!AF6=6,Schedule!$AQ$9,IF(Schedule!AF6=7,Schedule!$AQ$10,IF(Schedule!AF6=8,Schedule!#REF!,IF(Schedule!AF6=9,Schedule!$AQ$12,IF(Schedule!AF6=10,Schedule!$AQ$13,IF(Schedule!AF6=11,Schedule!#REF!,IF(Schedule!AF6=12,Schedule!#REF!,IF(Schedule!AF6=13,Schedule!$AQ$14,IF(Schedule!AF6=14,Schedule!#REF!,IF(Schedule!AF6=15,Schedule!$AQ$15,IF(Schedule!AF6=16,Schedule!#REF!,IF(Schedule!AF6=17,Schedule!#REF!,IF(Schedule!AF6=18,Schedule!$AQ$16,IF(Schedule!AF6=19,Schedule!$AQ$17,IF(Schedule!AF6=20,Schedule!$AQ$18,IF(Schedule!AF6=21,Schedule!#REF!))))))))))))))))))))))</f>
        <v xml:space="preserve">Booth(1)/ VC </v>
      </c>
      <c r="AF6" s="72" t="e">
        <f>IF(Schedule!AG6=0,Schedule!$AQ$3,IF(Schedule!AG6=1,Schedule!$AQ$4,IF(Schedule!AG6=2,Schedule!$AQ$5,IF(Schedule!AG6=3,Schedule!$AQ$6,IF(Schedule!AG6=4,Schedule!$AQ$7,IF(Schedule!AG6=5,Schedule!$AQ$8,IF(Schedule!AG6=6,Schedule!$AQ$9,IF(Schedule!AG6=7,Schedule!$AQ$10,IF(Schedule!AG6=8,Schedule!#REF!,IF(Schedule!AG6=9,Schedule!$AQ$12,IF(Schedule!AG6=10,Schedule!$AQ$13,IF(Schedule!AG6=11,Schedule!#REF!,IF(Schedule!AG6=12,Schedule!#REF!,IF(Schedule!AG6=13,Schedule!$AQ$14,IF(Schedule!AG6=14,Schedule!#REF!,IF(Schedule!AG6=15,Schedule!$AQ$15,IF(Schedule!AG6=16,Schedule!#REF!,IF(Schedule!AG6=17,Schedule!#REF!,IF(Schedule!AG6=18,Schedule!$AQ$16,IF(Schedule!AG6=19,Schedule!$AQ$17,IF(Schedule!AG6=20,Schedule!$AQ$18,IF(Schedule!AG6=21,Schedule!#REF!))))))))))))))))))))))</f>
        <v>#REF!</v>
      </c>
      <c r="AG6" s="72" t="str">
        <f>IF(Schedule!AH6=0,Schedule!$AQ$3,IF(Schedule!AH6=1,Schedule!$AQ$4,IF(Schedule!AH6=2,Schedule!$AQ$5,IF(Schedule!AH6=3,Schedule!$AQ$6,IF(Schedule!AH6=4,Schedule!$AQ$7,IF(Schedule!AH6=5,Schedule!$AQ$8,IF(Schedule!AH6=6,Schedule!$AQ$9,IF(Schedule!AH6=7,Schedule!$AQ$10,IF(Schedule!AH6=8,Schedule!#REF!,IF(Schedule!AH6=9,Schedule!$AQ$12,IF(Schedule!AH6=10,Schedule!$AQ$13,IF(Schedule!AH6=11,Schedule!#REF!,IF(Schedule!AH6=12,Schedule!#REF!,IF(Schedule!AH6=13,Schedule!$AQ$14,IF(Schedule!AH6=14,Schedule!#REF!,IF(Schedule!AH6=15,Schedule!$AQ$15,IF(Schedule!AH6=16,Schedule!#REF!,IF(Schedule!AH6=17,Schedule!#REF!,IF(Schedule!AH6=18,Schedule!$AQ$16,IF(Schedule!AH6=19,Schedule!$AQ$17,IF(Schedule!AH6=20,Schedule!$AQ$18,IF(Schedule!AH6=21,Schedule!#REF!))))))))))))))))))))))</f>
        <v>Art(1)/ Stop 7</v>
      </c>
      <c r="AH6" s="72" t="str">
        <f>IF(Schedule!AI6=0,Schedule!$AQ$3,IF(Schedule!AI6=1,Schedule!$AQ$4,IF(Schedule!AI6=2,Schedule!$AQ$5,IF(Schedule!AI6=3,Schedule!$AQ$6,IF(Schedule!AI6=4,Schedule!$AQ$7,IF(Schedule!AI6=5,Schedule!$AQ$8,IF(Schedule!AI6=6,Schedule!$AQ$9,IF(Schedule!AI6=7,Schedule!$AQ$10,IF(Schedule!AI6=8,Schedule!#REF!,IF(Schedule!AI6=9,Schedule!$AQ$12,IF(Schedule!AI6=10,Schedule!$AQ$13,IF(Schedule!AI6=11,Schedule!#REF!,IF(Schedule!AI6=12,Schedule!#REF!,IF(Schedule!AI6=13,Schedule!$AQ$14,IF(Schedule!AI6=14,Schedule!#REF!,IF(Schedule!AI6=15,Schedule!$AQ$15,IF(Schedule!AI6=16,Schedule!#REF!,IF(Schedule!AI6=17,Schedule!#REF!,IF(Schedule!AI6=18,Schedule!$AQ$16,IF(Schedule!AI6=19,Schedule!$AQ$17,IF(Schedule!AI6=20,Schedule!$AQ$18,IF(Schedule!AI6=21,Schedule!#REF!))))))))))))))))))))))</f>
        <v>OFF</v>
      </c>
      <c r="AI6" s="72" t="str">
        <f>IF(Schedule!AJ6=0,Schedule!$AQ$3,IF(Schedule!AJ6=1,Schedule!$AQ$4,IF(Schedule!AJ6=2,Schedule!$AQ$5,IF(Schedule!AJ6=3,Schedule!$AQ$6,IF(Schedule!AJ6=4,Schedule!$AQ$7,IF(Schedule!AJ6=5,Schedule!$AQ$8,IF(Schedule!AJ6=6,Schedule!$AQ$9,IF(Schedule!AJ6=7,Schedule!$AQ$10,IF(Schedule!AJ6=8,Schedule!#REF!,IF(Schedule!AJ6=9,Schedule!$AQ$12,IF(Schedule!AJ6=10,Schedule!$AQ$13,IF(Schedule!AJ6=11,Schedule!#REF!,IF(Schedule!AJ6=12,Schedule!#REF!,IF(Schedule!AJ6=13,Schedule!$AQ$14,IF(Schedule!AJ6=14,Schedule!#REF!,IF(Schedule!AJ6=15,Schedule!$AQ$15,IF(Schedule!AJ6=16,Schedule!#REF!,IF(Schedule!AJ6=17,Schedule!#REF!,IF(Schedule!AJ6=18,Schedule!$AQ$16,IF(Schedule!AJ6=19,Schedule!$AQ$17,IF(Schedule!AJ6=20,Schedule!$AQ$18,IF(Schedule!AJ6=21,Schedule!#REF!))))))))))))))))))))))</f>
        <v>Stop 7(2)/ 5&amp;9</v>
      </c>
      <c r="AJ6" s="72" t="str">
        <f>IF(Schedule!AK6=0,Schedule!$AQ$3,IF(Schedule!AK6=1,Schedule!$AQ$4,IF(Schedule!AK6=2,Schedule!$AQ$5,IF(Schedule!AK6=3,Schedule!$AQ$6,IF(Schedule!AK6=4,Schedule!$AQ$7,IF(Schedule!AK6=5,Schedule!$AQ$8,IF(Schedule!AK6=6,Schedule!$AQ$9,IF(Schedule!AK6=7,Schedule!$AQ$10,IF(Schedule!AK6=8,Schedule!#REF!,IF(Schedule!AK6=9,Schedule!$AQ$12,IF(Schedule!AK6=10,Schedule!$AQ$13,IF(Schedule!AK6=11,Schedule!#REF!,IF(Schedule!AK6=12,Schedule!#REF!,IF(Schedule!AK6=13,Schedule!$AQ$14,IF(Schedule!AK6=14,Schedule!#REF!,IF(Schedule!AK6=15,Schedule!$AQ$15,IF(Schedule!AK6=16,Schedule!#REF!,IF(Schedule!AK6=17,Schedule!#REF!,IF(Schedule!AK6=18,Schedule!$AQ$16,IF(Schedule!AK6=19,Schedule!$AQ$17,IF(Schedule!AK6=20,Schedule!$AQ$18,IF(Schedule!AK6=21,Schedule!#REF!))))))))))))))))))))))</f>
        <v xml:space="preserve">VC(2)/ Booth  </v>
      </c>
      <c r="AK6" s="72" t="str">
        <f>IF(Schedule!AL6=0,Schedule!$AQ$3,IF(Schedule!AL6=1,Schedule!$AQ$4,IF(Schedule!AL6=2,Schedule!$AQ$5,IF(Schedule!AL6=3,Schedule!$AQ$6,IF(Schedule!AL6=4,Schedule!$AQ$7,IF(Schedule!AL6=5,Schedule!$AQ$8,IF(Schedule!AL6=6,Schedule!$AQ$9,IF(Schedule!AL6=7,Schedule!$AQ$10,IF(Schedule!AL6=8,Schedule!#REF!,IF(Schedule!AL6=9,Schedule!$AQ$12,IF(Schedule!AL6=10,Schedule!$AQ$13,IF(Schedule!AL6=11,Schedule!#REF!,IF(Schedule!AL6=12,Schedule!#REF!,IF(Schedule!AL6=13,Schedule!$AQ$14,IF(Schedule!AL6=14,Schedule!#REF!,IF(Schedule!AL6=15,Schedule!$AQ$15,IF(Schedule!AL6=16,Schedule!#REF!,IF(Schedule!AL6=17,Schedule!#REF!,IF(Schedule!AL6=18,Schedule!$AQ$16,IF(Schedule!AL6=19,Schedule!$AQ$17,IF(Schedule!AL6=20,Schedule!$AQ$18,IF(Schedule!AL6=21,Schedule!#REF!))))))))))))))))))))))</f>
        <v>Stop 14(2)</v>
      </c>
    </row>
    <row r="7" spans="1:37" ht="22" customHeight="1" x14ac:dyDescent="0.2">
      <c r="A7" s="67" t="str">
        <f>Schedule!D7</f>
        <v>Doe</v>
      </c>
      <c r="B7" s="67" t="str">
        <f>Schedule!C7</f>
        <v>Jane</v>
      </c>
      <c r="C7" s="54"/>
      <c r="D7" s="54"/>
      <c r="E7" s="54"/>
      <c r="F7" s="64"/>
      <c r="G7" s="72" t="str">
        <f>IF(Schedule!E7=0,Schedule!$AQ$3,IF(Schedule!E7=1,Schedule!$AQ$4,IF(Schedule!E7=2,Schedule!$AQ$5,IF(Schedule!E7=3,Schedule!$AQ$6,IF(Schedule!E7=4,Schedule!$AQ$7,IF(Schedule!E7=5,Schedule!$AQ$8,IF(Schedule!E7=6,Schedule!$AQ$9,IF(Schedule!E7=7,Schedule!$AQ$10,IF(Schedule!E7=8,Schedule!#REF!,IF(Schedule!E7=9,Schedule!$AQ$12,IF(Schedule!E7=10,Schedule!$AQ$13,IF(Schedule!E7=11,Schedule!#REF!,IF(Schedule!E7=12,Schedule!#REF!,IF(Schedule!E7=13,Schedule!$AQ$14,IF(Schedule!E7=14,Schedule!#REF!,IF(Schedule!E7=15,Schedule!$AQ$15,IF(Schedule!E7=16,Schedule!#REF!,IF(Schedule!E7=17,Schedule!#REF!,IF(Schedule!E7=18,Schedule!$AQ$16,IF(Schedule!E7=19,Schedule!$AQ$17,IF(Schedule!E7=20,Schedule!$AQ$18,IF(Schedule!E7=21,Schedule!#REF!))))))))))))))))))))))</f>
        <v>OFF</v>
      </c>
      <c r="H7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7" s="72" t="str">
        <f>IF(Schedule!F8=0,Schedule!$AQ$3,IF(Schedule!F8=1,Schedule!$AQ$4,IF(Schedule!F8=2,Schedule!$AQ$5,IF(Schedule!F8=3,Schedule!$AQ$6,IF(Schedule!F8=4,Schedule!$AQ$7,IF(Schedule!F8=5,Schedule!$AQ$8,IF(Schedule!F8=6,Schedule!$AQ$9,IF(Schedule!F8=7,Schedule!$AQ$10,IF(Schedule!F8=8,Schedule!#REF!,IF(Schedule!F8=9,Schedule!$AQ$12,IF(Schedule!F8=10,Schedule!$AQ$13,IF(Schedule!F8=11,Schedule!#REF!,IF(Schedule!F8=12,Schedule!#REF!,IF(Schedule!F8=13,Schedule!$AQ$14,IF(Schedule!F8=14,Schedule!#REF!,IF(Schedule!F8=15,Schedule!$AQ$15,IF(Schedule!F8=16,Schedule!#REF!,IF(Schedule!F8=17,Schedule!#REF!,IF(Schedule!F8=18,Schedule!$AQ$16,IF(Schedule!F8=19,Schedule!$AQ$17,IF(Schedule!F8=20,Schedule!$AQ$18,IF(Schedule!F8=21,Schedule!#REF!))))))))))))))))))))))</f>
        <v xml:space="preserve">Booth(1)/ VC </v>
      </c>
      <c r="J7" s="72" t="str">
        <f>IF(Schedule!J7=0,Schedule!$AQ$3,IF(Schedule!J7=1,Schedule!$AQ$4,IF(Schedule!J7=2,Schedule!$AQ$5,IF(Schedule!J7=3,Schedule!$AQ$6,IF(Schedule!J7=4,Schedule!$AQ$7,IF(Schedule!J7=5,Schedule!$AQ$8,IF(Schedule!J7=6,Schedule!$AQ$9,IF(Schedule!J7=7,Schedule!$AQ$10,IF(Schedule!J7=8,Schedule!#REF!,IF(Schedule!J7=9,Schedule!$AQ$12,IF(Schedule!J7=10,Schedule!$AQ$13,IF(Schedule!J7=11,Schedule!#REF!,IF(Schedule!J7=12,Schedule!#REF!,IF(Schedule!J7=13,Schedule!$AQ$14,IF(Schedule!J7=14,Schedule!#REF!,IF(Schedule!J7=15,Schedule!$AQ$15,IF(Schedule!J7=16,Schedule!#REF!,IF(Schedule!J7=17,Schedule!#REF!,IF(Schedule!J7=18,Schedule!$AQ$16,IF(Schedule!J7=19,Schedule!$AQ$17,IF(Schedule!J7=20,Schedule!$AQ$18,IF(Schedule!J7=21,Schedule!#REF!))))))))))))))))))))))</f>
        <v>OFF</v>
      </c>
      <c r="K7" s="72" t="str">
        <f>IF(Schedule!K7=0,Schedule!$AQ$3,IF(Schedule!K7=1,Schedule!$AQ$4,IF(Schedule!K7=2,Schedule!$AQ$5,IF(Schedule!K7=3,Schedule!$AQ$6,IF(Schedule!K7=4,Schedule!$AQ$7,IF(Schedule!K7=5,Schedule!$AQ$8,IF(Schedule!K7=6,Schedule!$AQ$9,IF(Schedule!K7=7,Schedule!$AQ$10,IF(Schedule!K7=8,Schedule!#REF!,IF(Schedule!K7=9,Schedule!$AQ$12,IF(Schedule!K7=10,Schedule!$AQ$13,IF(Schedule!K7=11,Schedule!#REF!,IF(Schedule!K7=12,Schedule!#REF!,IF(Schedule!K7=13,Schedule!$AQ$14,IF(Schedule!K7=14,Schedule!#REF!,IF(Schedule!K7=15,Schedule!$AQ$15,IF(Schedule!K7=16,Schedule!#REF!,IF(Schedule!K7=17,Schedule!#REF!,IF(Schedule!K7=18,Schedule!$AQ$16,IF(Schedule!K7=19,Schedule!$AQ$17,IF(Schedule!K7=20,Schedule!$AQ$18,IF(Schedule!K7=21,Schedule!#REF!))))))))))))))))))))))</f>
        <v xml:space="preserve">VC(1)/ Booth </v>
      </c>
      <c r="L7" s="72" t="str">
        <f>IF(Schedule!M7=0,Schedule!$AQ$3,IF(Schedule!M7=1,Schedule!$AQ$4,IF(Schedule!M7=2,Schedule!$AQ$5,IF(Schedule!M7=3,Schedule!$AQ$6,IF(Schedule!M7=4,Schedule!$AQ$7,IF(Schedule!M7=5,Schedule!$AQ$8,IF(Schedule!M7=6,Schedule!$AQ$9,IF(Schedule!M7=7,Schedule!$AQ$10,IF(Schedule!M7=8,Schedule!#REF!,IF(Schedule!M7=9,Schedule!$AQ$12,IF(Schedule!M7=10,Schedule!$AQ$13,IF(Schedule!M7=11,Schedule!#REF!,IF(Schedule!M7=12,Schedule!#REF!,IF(Schedule!M7=13,Schedule!$AQ$14,IF(Schedule!M7=14,Schedule!#REF!,IF(Schedule!M7=15,Schedule!$AQ$15,IF(Schedule!M7=16,Schedule!#REF!,IF(Schedule!M7=17,Schedule!#REF!,IF(Schedule!M7=18,Schedule!$AQ$16,IF(Schedule!M7=19,Schedule!$AQ$17,IF(Schedule!M7=20,Schedule!$AQ$18,IF(Schedule!M7=21,Schedule!#REF!))))))))))))))))))))))</f>
        <v>Stop 7(2)</v>
      </c>
      <c r="M7" s="72" t="str">
        <f>IF(Schedule!N7=0,Schedule!$AQ$3,IF(Schedule!N7=1,Schedule!$AQ$4,IF(Schedule!N7=2,Schedule!$AQ$5,IF(Schedule!N7=3,Schedule!$AQ$6,IF(Schedule!N7=4,Schedule!$AQ$7,IF(Schedule!N7=5,Schedule!$AQ$8,IF(Schedule!N7=6,Schedule!$AQ$9,IF(Schedule!N7=7,Schedule!$AQ$10,IF(Schedule!N7=8,Schedule!#REF!,IF(Schedule!N7=9,Schedule!$AQ$12,IF(Schedule!N7=10,Schedule!$AQ$13,IF(Schedule!N7=11,Schedule!#REF!,IF(Schedule!N7=12,Schedule!#REF!,IF(Schedule!N7=13,Schedule!$AQ$14,IF(Schedule!N7=14,Schedule!#REF!,IF(Schedule!N7=15,Schedule!$AQ$15,IF(Schedule!N7=16,Schedule!#REF!,IF(Schedule!N7=17,Schedule!#REF!,IF(Schedule!N7=18,Schedule!$AQ$16,IF(Schedule!N7=19,Schedule!$AQ$17,IF(Schedule!N7=20,Schedule!$AQ$18,IF(Schedule!N7=21,Schedule!#REF!))))))))))))))))))))))</f>
        <v>OFF</v>
      </c>
      <c r="N7" s="72" t="str">
        <f>IF(Schedule!O7=0,Schedule!$AQ$3,IF(Schedule!O7=1,Schedule!$AQ$4,IF(Schedule!O7=2,Schedule!$AQ$5,IF(Schedule!O7=3,Schedule!$AQ$6,IF(Schedule!O7=4,Schedule!$AQ$7,IF(Schedule!O7=5,Schedule!$AQ$8,IF(Schedule!O7=6,Schedule!$AQ$9,IF(Schedule!O7=7,Schedule!$AQ$10,IF(Schedule!O7=8,Schedule!#REF!,IF(Schedule!O7=9,Schedule!$AQ$12,IF(Schedule!O7=10,Schedule!$AQ$13,IF(Schedule!O7=11,Schedule!#REF!,IF(Schedule!O7=12,Schedule!#REF!,IF(Schedule!O7=13,Schedule!$AQ$14,IF(Schedule!O7=14,Schedule!#REF!,IF(Schedule!O7=15,Schedule!$AQ$15,IF(Schedule!O7=16,Schedule!#REF!,IF(Schedule!O7=17,Schedule!#REF!,IF(Schedule!O7=18,Schedule!$AQ$16,IF(Schedule!O7=19,Schedule!$AQ$17,IF(Schedule!O7=20,Schedule!$AQ$18,IF(Schedule!O7=21,Schedule!#REF!))))))))))))))))))))))</f>
        <v>OFF</v>
      </c>
      <c r="O7" s="72" t="str">
        <f>IF(Schedule!P7=0,Schedule!$AQ$3,IF(Schedule!P7=1,Schedule!$AQ$4,IF(Schedule!P7=2,Schedule!$AQ$5,IF(Schedule!P7=3,Schedule!$AQ$6,IF(Schedule!P7=4,Schedule!$AQ$7,IF(Schedule!P7=5,Schedule!$AQ$8,IF(Schedule!P7=6,Schedule!$AQ$9,IF(Schedule!P7=7,Schedule!$AQ$10,IF(Schedule!P7=8,Schedule!#REF!,IF(Schedule!P7=9,Schedule!$AQ$12,IF(Schedule!P7=10,Schedule!$AQ$13,IF(Schedule!P7=11,Schedule!#REF!,IF(Schedule!P7=12,Schedule!#REF!,IF(Schedule!P7=13,Schedule!$AQ$14,IF(Schedule!P7=14,Schedule!#REF!,IF(Schedule!P7=15,Schedule!$AQ$15,IF(Schedule!P7=16,Schedule!#REF!,IF(Schedule!P7=17,Schedule!#REF!,IF(Schedule!P7=18,Schedule!$AQ$16,IF(Schedule!P7=19,Schedule!$AQ$17,IF(Schedule!P7=20,Schedule!$AQ$18,IF(Schedule!P7=21,Schedule!#REF!))))))))))))))))))))))</f>
        <v xml:space="preserve">Booth(1)/ VC </v>
      </c>
      <c r="P7" s="72" t="str">
        <f>IF(Schedule!Q7=0,Schedule!$AQ$3,IF(Schedule!Q7=1,Schedule!$AQ$4,IF(Schedule!Q7=2,Schedule!$AQ$5,IF(Schedule!Q7=3,Schedule!$AQ$6,IF(Schedule!Q7=4,Schedule!$AQ$7,IF(Schedule!Q7=5,Schedule!$AQ$8,IF(Schedule!Q7=6,Schedule!$AQ$9,IF(Schedule!Q7=7,Schedule!$AQ$10,IF(Schedule!Q7=8,Schedule!#REF!,IF(Schedule!Q7=9,Schedule!$AQ$12,IF(Schedule!Q7=10,Schedule!$AQ$13,IF(Schedule!Q7=11,Schedule!#REF!,IF(Schedule!Q7=12,Schedule!#REF!,IF(Schedule!Q7=13,Schedule!$AQ$14,IF(Schedule!Q7=14,Schedule!#REF!,IF(Schedule!Q7=15,Schedule!$AQ$15,IF(Schedule!Q7=16,Schedule!#REF!,IF(Schedule!Q7=17,Schedule!#REF!,IF(Schedule!Q7=18,Schedule!$AQ$16,IF(Schedule!Q7=19,Schedule!$AQ$17,IF(Schedule!Q7=20,Schedule!$AQ$18,IF(Schedule!Q7=21,Schedule!#REF!))))))))))))))))))))))</f>
        <v xml:space="preserve">VC(2)/ Booth  </v>
      </c>
      <c r="Q7" s="72" t="str">
        <f>IF(Schedule!R7=0,Schedule!$AQ$3,IF(Schedule!R7=1,Schedule!$AQ$4,IF(Schedule!R7=2,Schedule!$AQ$5,IF(Schedule!R7=3,Schedule!$AQ$6,IF(Schedule!R7=4,Schedule!$AQ$7,IF(Schedule!R7=5,Schedule!$AQ$8,IF(Schedule!R7=6,Schedule!$AQ$9,IF(Schedule!R7=7,Schedule!$AQ$10,IF(Schedule!R7=8,Schedule!#REF!,IF(Schedule!R7=9,Schedule!$AQ$12,IF(Schedule!R7=10,Schedule!$AQ$13,IF(Schedule!R7=11,Schedule!#REF!,IF(Schedule!R7=12,Schedule!#REF!,IF(Schedule!R7=13,Schedule!$AQ$14,IF(Schedule!R7=14,Schedule!#REF!,IF(Schedule!R7=15,Schedule!$AQ$15,IF(Schedule!R7=16,Schedule!#REF!,IF(Schedule!R7=17,Schedule!#REF!,IF(Schedule!R7=18,Schedule!$AQ$16,IF(Schedule!R7=19,Schedule!$AQ$17,IF(Schedule!R7=20,Schedule!$AQ$18,IF(Schedule!R7=21,Schedule!#REF!))))))))))))))))))))))</f>
        <v>Art(1)/ Stop 7</v>
      </c>
      <c r="R7" s="72" t="str">
        <f>IF(Schedule!S7=0,Schedule!$AQ$3,IF(Schedule!S7=1,Schedule!$AQ$4,IF(Schedule!S7=2,Schedule!$AQ$5,IF(Schedule!S7=3,Schedule!$AQ$6,IF(Schedule!S7=4,Schedule!$AQ$7,IF(Schedule!S7=5,Schedule!$AQ$8,IF(Schedule!S7=6,Schedule!$AQ$9,IF(Schedule!S7=7,Schedule!$AQ$10,IF(Schedule!S7=8,Schedule!#REF!,IF(Schedule!S7=9,Schedule!$AQ$12,IF(Schedule!S7=10,Schedule!$AQ$13,IF(Schedule!S7=11,Schedule!#REF!,IF(Schedule!S7=12,Schedule!#REF!,IF(Schedule!S7=13,Schedule!$AQ$14,IF(Schedule!S7=14,Schedule!#REF!,IF(Schedule!S7=15,Schedule!$AQ$15,IF(Schedule!S7=16,Schedule!#REF!,IF(Schedule!S7=17,Schedule!#REF!,IF(Schedule!S7=18,Schedule!$AQ$16,IF(Schedule!S7=19,Schedule!$AQ$17,IF(Schedule!S7=20,Schedule!$AQ$18,IF(Schedule!S7=21,Schedule!#REF!))))))))))))))))))))))</f>
        <v>OFF</v>
      </c>
      <c r="S7" s="72" t="str">
        <f>IF(Schedule!T7=0,Schedule!$AQ$3,IF(Schedule!T7=1,Schedule!$AQ$4,IF(Schedule!T7=2,Schedule!$AQ$5,IF(Schedule!T7=3,Schedule!$AQ$6,IF(Schedule!T7=4,Schedule!$AQ$7,IF(Schedule!T7=5,Schedule!$AQ$8,IF(Schedule!T7=6,Schedule!$AQ$9,IF(Schedule!T7=7,Schedule!$AQ$10,IF(Schedule!T7=8,Schedule!#REF!,IF(Schedule!T7=9,Schedule!$AQ$12,IF(Schedule!T7=10,Schedule!$AQ$13,IF(Schedule!T7=11,Schedule!#REF!,IF(Schedule!T7=12,Schedule!#REF!,IF(Schedule!T7=13,Schedule!$AQ$14,IF(Schedule!T7=14,Schedule!#REF!,IF(Schedule!T7=15,Schedule!$AQ$15,IF(Schedule!T7=16,Schedule!#REF!,IF(Schedule!T7=17,Schedule!#REF!,IF(Schedule!T7=18,Schedule!$AQ$16,IF(Schedule!T7=19,Schedule!$AQ$17,IF(Schedule!T7=20,Schedule!$AQ$18,IF(Schedule!T7=21,Schedule!#REF!))))))))))))))))))))))</f>
        <v>OFF</v>
      </c>
      <c r="T7" s="72" t="e">
        <f>IF(Schedule!U7=0,Schedule!$AQ$3,IF(Schedule!U7=1,Schedule!$AQ$4,IF(Schedule!U7=2,Schedule!$AQ$5,IF(Schedule!U7=3,Schedule!$AQ$6,IF(Schedule!U7=4,Schedule!$AQ$7,IF(Schedule!U7=5,Schedule!$AQ$8,IF(Schedule!U7=6,Schedule!$AQ$9,IF(Schedule!U7=7,Schedule!$AQ$10,IF(Schedule!U7=8,Schedule!#REF!,IF(Schedule!U7=9,Schedule!$AQ$12,IF(Schedule!U7=10,Schedule!$AQ$13,IF(Schedule!U7=11,Schedule!#REF!,IF(Schedule!U7=12,Schedule!#REF!,IF(Schedule!U7=13,Schedule!$AQ$14,IF(Schedule!U7=14,Schedule!#REF!,IF(Schedule!U7=15,Schedule!$AQ$15,IF(Schedule!U7=16,Schedule!#REF!,IF(Schedule!U7=17,Schedule!#REF!,IF(Schedule!U7=18,Schedule!$AQ$16,IF(Schedule!U7=19,Schedule!$AQ$17,IF(Schedule!U7=20,Schedule!$AQ$18,IF(Schedule!U7=21,Schedule!#REF!))))))))))))))))))))))</f>
        <v>#REF!</v>
      </c>
      <c r="U7" s="72" t="str">
        <f>IF(Schedule!V7=0,Schedule!$AQ$3,IF(Schedule!V7=1,Schedule!$AQ$4,IF(Schedule!V7=2,Schedule!$AQ$5,IF(Schedule!V7=3,Schedule!$AQ$6,IF(Schedule!V7=4,Schedule!$AQ$7,IF(Schedule!V7=5,Schedule!$AQ$8,IF(Schedule!V7=6,Schedule!$AQ$9,IF(Schedule!V7=7,Schedule!$AQ$10,IF(Schedule!V7=8,Schedule!#REF!,IF(Schedule!V7=9,Schedule!$AQ$12,IF(Schedule!V7=10,Schedule!$AQ$13,IF(Schedule!V7=11,Schedule!#REF!,IF(Schedule!V7=12,Schedule!#REF!,IF(Schedule!V7=13,Schedule!$AQ$14,IF(Schedule!V7=14,Schedule!#REF!,IF(Schedule!V7=15,Schedule!$AQ$15,IF(Schedule!V7=16,Schedule!#REF!,IF(Schedule!V7=17,Schedule!#REF!,IF(Schedule!V7=18,Schedule!$AQ$16,IF(Schedule!V7=19,Schedule!$AQ$17,IF(Schedule!V7=20,Schedule!$AQ$18,IF(Schedule!V7=21,Schedule!#REF!))))))))))))))))))))))</f>
        <v>Stop 14(2)</v>
      </c>
      <c r="V7" s="72" t="str">
        <f>IF(Schedule!W7=0,Schedule!$AQ$3,IF(Schedule!W7=1,Schedule!$AQ$4,IF(Schedule!W7=2,Schedule!$AQ$5,IF(Schedule!W7=3,Schedule!$AQ$6,IF(Schedule!W7=4,Schedule!$AQ$7,IF(Schedule!W7=5,Schedule!$AQ$8,IF(Schedule!W7=6,Schedule!$AQ$9,IF(Schedule!W7=7,Schedule!$AQ$10,IF(Schedule!W7=8,Schedule!#REF!,IF(Schedule!W7=9,Schedule!$AQ$12,IF(Schedule!W7=10,Schedule!$AQ$13,IF(Schedule!W7=11,Schedule!#REF!,IF(Schedule!W7=12,Schedule!#REF!,IF(Schedule!W7=13,Schedule!$AQ$14,IF(Schedule!W7=14,Schedule!#REF!,IF(Schedule!W7=15,Schedule!$AQ$15,IF(Schedule!W7=16,Schedule!#REF!,IF(Schedule!W7=17,Schedule!#REF!,IF(Schedule!W7=18,Schedule!$AQ$16,IF(Schedule!W7=19,Schedule!$AQ$17,IF(Schedule!W7=20,Schedule!$AQ$18,IF(Schedule!W7=21,Schedule!#REF!))))))))))))))))))))))</f>
        <v>Stop 7(2)</v>
      </c>
      <c r="W7" s="72" t="str">
        <f>IF(Schedule!X7=0,Schedule!$AQ$3,IF(Schedule!X7=1,Schedule!$AQ$4,IF(Schedule!X7=2,Schedule!$AQ$5,IF(Schedule!X7=3,Schedule!$AQ$6,IF(Schedule!X7=4,Schedule!$AQ$7,IF(Schedule!X7=5,Schedule!$AQ$8,IF(Schedule!X7=6,Schedule!$AQ$9,IF(Schedule!X7=7,Schedule!$AQ$10,IF(Schedule!X7=8,Schedule!#REF!,IF(Schedule!X7=9,Schedule!$AQ$12,IF(Schedule!X7=10,Schedule!$AQ$13,IF(Schedule!X7=11,Schedule!#REF!,IF(Schedule!X7=12,Schedule!#REF!,IF(Schedule!X7=13,Schedule!$AQ$14,IF(Schedule!X7=14,Schedule!#REF!,IF(Schedule!X7=15,Schedule!$AQ$15,IF(Schedule!X7=16,Schedule!#REF!,IF(Schedule!X7=17,Schedule!#REF!,IF(Schedule!X7=18,Schedule!$AQ$16,IF(Schedule!X7=19,Schedule!$AQ$17,IF(Schedule!X7=20,Schedule!$AQ$18,IF(Schedule!X7=21,Schedule!#REF!))))))))))))))))))))))</f>
        <v>OFF</v>
      </c>
      <c r="X7" s="72" t="str">
        <f>IF(Schedule!Y7=0,Schedule!$AQ$3,IF(Schedule!Y7=1,Schedule!$AQ$4,IF(Schedule!Y7=2,Schedule!$AQ$5,IF(Schedule!Y7=3,Schedule!$AQ$6,IF(Schedule!Y7=4,Schedule!$AQ$7,IF(Schedule!Y7=5,Schedule!$AQ$8,IF(Schedule!Y7=6,Schedule!$AQ$9,IF(Schedule!Y7=7,Schedule!$AQ$10,IF(Schedule!Y7=8,Schedule!#REF!,IF(Schedule!Y7=9,Schedule!$AQ$12,IF(Schedule!Y7=10,Schedule!$AQ$13,IF(Schedule!Y7=11,Schedule!#REF!,IF(Schedule!Y7=12,Schedule!#REF!,IF(Schedule!Y7=13,Schedule!$AQ$14,IF(Schedule!Y7=14,Schedule!#REF!,IF(Schedule!Y7=15,Schedule!$AQ$15,IF(Schedule!Y7=16,Schedule!#REF!,IF(Schedule!Y7=17,Schedule!#REF!,IF(Schedule!Y7=18,Schedule!$AQ$16,IF(Schedule!Y7=19,Schedule!$AQ$17,IF(Schedule!Y7=20,Schedule!$AQ$18,IF(Schedule!Y7=21,Schedule!#REF!))))))))))))))))))))))</f>
        <v>OFF</v>
      </c>
      <c r="Y7" s="72" t="str">
        <f>IF(Schedule!Z7=0,Schedule!$AQ$3,IF(Schedule!Z7=1,Schedule!$AQ$4,IF(Schedule!Z7=2,Schedule!$AQ$5,IF(Schedule!Z7=3,Schedule!$AQ$6,IF(Schedule!Z7=4,Schedule!$AQ$7,IF(Schedule!Z7=5,Schedule!$AQ$8,IF(Schedule!Z7=6,Schedule!$AQ$9,IF(Schedule!Z7=7,Schedule!$AQ$10,IF(Schedule!Z7=8,Schedule!#REF!,IF(Schedule!Z7=9,Schedule!$AQ$12,IF(Schedule!Z7=10,Schedule!$AQ$13,IF(Schedule!Z7=11,Schedule!#REF!,IF(Schedule!Z7=12,Schedule!#REF!,IF(Schedule!Z7=13,Schedule!$AQ$14,IF(Schedule!Z7=14,Schedule!#REF!,IF(Schedule!Z7=15,Schedule!$AQ$15,IF(Schedule!Z7=16,Schedule!#REF!,IF(Schedule!Z7=17,Schedule!#REF!,IF(Schedule!Z7=18,Schedule!$AQ$16,IF(Schedule!Z7=19,Schedule!$AQ$17,IF(Schedule!Z7=20,Schedule!$AQ$18,IF(Schedule!Z7=21,Schedule!#REF!))))))))))))))))))))))</f>
        <v xml:space="preserve">VC(1)/ Booth </v>
      </c>
      <c r="Z7" s="72" t="str">
        <f>IF(Schedule!AA7=0,Schedule!$AQ$3,IF(Schedule!AA7=1,Schedule!$AQ$4,IF(Schedule!AA7=2,Schedule!$AQ$5,IF(Schedule!AA7=3,Schedule!$AQ$6,IF(Schedule!AA7=4,Schedule!$AQ$7,IF(Schedule!AA7=5,Schedule!$AQ$8,IF(Schedule!AA7=6,Schedule!$AQ$9,IF(Schedule!AA7=7,Schedule!$AQ$10,IF(Schedule!AA7=8,Schedule!#REF!,IF(Schedule!AA7=9,Schedule!$AQ$12,IF(Schedule!AA7=10,Schedule!$AQ$13,IF(Schedule!AA7=11,Schedule!#REF!,IF(Schedule!AA7=12,Schedule!#REF!,IF(Schedule!AA7=13,Schedule!$AQ$14,IF(Schedule!AA7=14,Schedule!#REF!,IF(Schedule!AA7=15,Schedule!$AQ$15,IF(Schedule!AA7=16,Schedule!#REF!,IF(Schedule!AA7=17,Schedule!#REF!,IF(Schedule!AA7=18,Schedule!$AQ$16,IF(Schedule!AA7=19,Schedule!$AQ$17,IF(Schedule!AA7=20,Schedule!$AQ$18,IF(Schedule!AA7=21,Schedule!#REF!))))))))))))))))))))))</f>
        <v>Stop 14(2)</v>
      </c>
      <c r="AA7" s="72" t="str">
        <f>IF(Schedule!AB7=0,Schedule!$AQ$3,IF(Schedule!AB7=1,Schedule!$AQ$4,IF(Schedule!AB7=2,Schedule!$AQ$5,IF(Schedule!AB7=3,Schedule!$AQ$6,IF(Schedule!AB7=4,Schedule!$AQ$7,IF(Schedule!AB7=5,Schedule!$AQ$8,IF(Schedule!AB7=6,Schedule!$AQ$9,IF(Schedule!AB7=7,Schedule!$AQ$10,IF(Schedule!AB7=8,Schedule!#REF!,IF(Schedule!AB7=9,Schedule!$AQ$12,IF(Schedule!AB7=10,Schedule!$AQ$13,IF(Schedule!AB7=11,Schedule!#REF!,IF(Schedule!AB7=12,Schedule!#REF!,IF(Schedule!AB7=13,Schedule!$AQ$14,IF(Schedule!AB7=14,Schedule!#REF!,IF(Schedule!AB7=15,Schedule!$AQ$15,IF(Schedule!AB7=16,Schedule!#REF!,IF(Schedule!AB7=17,Schedule!#REF!,IF(Schedule!AB7=18,Schedule!$AQ$16,IF(Schedule!AB7=19,Schedule!$AQ$17,IF(Schedule!AB7=20,Schedule!$AQ$18,IF(Schedule!AB7=21,Schedule!#REF!))))))))))))))))))))))</f>
        <v>OFF</v>
      </c>
      <c r="AB7" s="72" t="str">
        <f>IF(Schedule!AC7=0,Schedule!$AQ$3,IF(Schedule!AC7=1,Schedule!$AQ$4,IF(Schedule!AC7=2,Schedule!$AQ$5,IF(Schedule!AC7=3,Schedule!$AQ$6,IF(Schedule!AC7=4,Schedule!$AQ$7,IF(Schedule!AC7=5,Schedule!$AQ$8,IF(Schedule!AC7=6,Schedule!$AQ$9,IF(Schedule!AC7=7,Schedule!$AQ$10,IF(Schedule!AC7=8,Schedule!#REF!,IF(Schedule!AC7=9,Schedule!$AQ$12,IF(Schedule!AC7=10,Schedule!$AQ$13,IF(Schedule!AC7=11,Schedule!#REF!,IF(Schedule!AC7=12,Schedule!#REF!,IF(Schedule!AC7=13,Schedule!$AQ$14,IF(Schedule!AC7=14,Schedule!#REF!,IF(Schedule!AC7=15,Schedule!$AQ$15,IF(Schedule!AC7=16,Schedule!#REF!,IF(Schedule!AC7=17,Schedule!#REF!,IF(Schedule!AC7=18,Schedule!$AQ$16,IF(Schedule!AC7=19,Schedule!$AQ$17,IF(Schedule!AC7=20,Schedule!$AQ$18,IF(Schedule!AC7=21,Schedule!#REF!))))))))))))))))))))))</f>
        <v>OFF</v>
      </c>
      <c r="AC7" s="72" t="str">
        <f>IF(Schedule!AD7=0,Schedule!$AQ$3,IF(Schedule!AD7=1,Schedule!$AQ$4,IF(Schedule!AD7=2,Schedule!$AQ$5,IF(Schedule!AD7=3,Schedule!$AQ$6,IF(Schedule!AD7=4,Schedule!$AQ$7,IF(Schedule!AD7=5,Schedule!$AQ$8,IF(Schedule!AD7=6,Schedule!$AQ$9,IF(Schedule!AD7=7,Schedule!$AQ$10,IF(Schedule!AD7=8,Schedule!#REF!,IF(Schedule!AD7=9,Schedule!$AQ$12,IF(Schedule!AD7=10,Schedule!$AQ$13,IF(Schedule!AD7=11,Schedule!#REF!,IF(Schedule!AD7=12,Schedule!#REF!,IF(Schedule!AD7=13,Schedule!$AQ$14,IF(Schedule!AD7=14,Schedule!#REF!,IF(Schedule!AD7=15,Schedule!$AQ$15,IF(Schedule!AD7=16,Schedule!#REF!,IF(Schedule!AD7=17,Schedule!#REF!,IF(Schedule!AD7=18,Schedule!$AQ$16,IF(Schedule!AD7=19,Schedule!$AQ$17,IF(Schedule!AD7=20,Schedule!$AQ$18,IF(Schedule!AD7=21,Schedule!#REF!))))))))))))))))))))))</f>
        <v xml:space="preserve">Booth(2)/ VC </v>
      </c>
      <c r="AD7" s="72" t="str">
        <f>IF(Schedule!AE7=0,Schedule!$AQ$3,IF(Schedule!AE7=1,Schedule!$AQ$4,IF(Schedule!AE7=2,Schedule!$AQ$5,IF(Schedule!AE7=3,Schedule!$AQ$6,IF(Schedule!AE7=4,Schedule!$AQ$7,IF(Schedule!AE7=5,Schedule!$AQ$8,IF(Schedule!AE7=6,Schedule!$AQ$9,IF(Schedule!AE7=7,Schedule!$AQ$10,IF(Schedule!AE7=8,Schedule!#REF!,IF(Schedule!AE7=9,Schedule!$AQ$12,IF(Schedule!AE7=10,Schedule!$AQ$13,IF(Schedule!AE7=11,Schedule!#REF!,IF(Schedule!AE7=12,Schedule!#REF!,IF(Schedule!AE7=13,Schedule!$AQ$14,IF(Schedule!AE7=14,Schedule!#REF!,IF(Schedule!AE7=15,Schedule!$AQ$15,IF(Schedule!AE7=16,Schedule!#REF!,IF(Schedule!AE7=17,Schedule!#REF!,IF(Schedule!AE7=18,Schedule!$AQ$16,IF(Schedule!AE7=19,Schedule!$AQ$17,IF(Schedule!AE7=20,Schedule!$AQ$18,IF(Schedule!AE7=21,Schedule!#REF!))))))))))))))))))))))</f>
        <v xml:space="preserve">Booth(1)/ VC </v>
      </c>
      <c r="AE7" s="72" t="str">
        <f>IF(Schedule!AF7=0,Schedule!$AQ$3,IF(Schedule!AF7=1,Schedule!$AQ$4,IF(Schedule!AF7=2,Schedule!$AQ$5,IF(Schedule!AF7=3,Schedule!$AQ$6,IF(Schedule!AF7=4,Schedule!$AQ$7,IF(Schedule!AF7=5,Schedule!$AQ$8,IF(Schedule!AF7=6,Schedule!$AQ$9,IF(Schedule!AF7=7,Schedule!$AQ$10,IF(Schedule!AF7=8,Schedule!#REF!,IF(Schedule!AF7=9,Schedule!$AQ$12,IF(Schedule!AF7=10,Schedule!$AQ$13,IF(Schedule!AF7=11,Schedule!#REF!,IF(Schedule!AF7=12,Schedule!#REF!,IF(Schedule!AF7=13,Schedule!$AQ$14,IF(Schedule!AF7=14,Schedule!#REF!,IF(Schedule!AF7=15,Schedule!$AQ$15,IF(Schedule!AF7=16,Schedule!#REF!,IF(Schedule!AF7=17,Schedule!#REF!,IF(Schedule!AF7=18,Schedule!$AQ$16,IF(Schedule!AF7=19,Schedule!$AQ$17,IF(Schedule!AF7=20,Schedule!$AQ$18,IF(Schedule!AF7=21,Schedule!#REF!))))))))))))))))))))))</f>
        <v>OFF</v>
      </c>
      <c r="AF7" s="72" t="str">
        <f>IF(Schedule!AG7=0,Schedule!$AQ$3,IF(Schedule!AG7=1,Schedule!$AQ$4,IF(Schedule!AG7=2,Schedule!$AQ$5,IF(Schedule!AG7=3,Schedule!$AQ$6,IF(Schedule!AG7=4,Schedule!$AQ$7,IF(Schedule!AG7=5,Schedule!$AQ$8,IF(Schedule!AG7=6,Schedule!$AQ$9,IF(Schedule!AG7=7,Schedule!$AQ$10,IF(Schedule!AG7=8,Schedule!#REF!,IF(Schedule!AG7=9,Schedule!$AQ$12,IF(Schedule!AG7=10,Schedule!$AQ$13,IF(Schedule!AG7=11,Schedule!#REF!,IF(Schedule!AG7=12,Schedule!#REF!,IF(Schedule!AG7=13,Schedule!$AQ$14,IF(Schedule!AG7=14,Schedule!#REF!,IF(Schedule!AG7=15,Schedule!$AQ$15,IF(Schedule!AG7=16,Schedule!#REF!,IF(Schedule!AG7=17,Schedule!#REF!,IF(Schedule!AG7=18,Schedule!$AQ$16,IF(Schedule!AG7=19,Schedule!$AQ$17,IF(Schedule!AG7=20,Schedule!$AQ$18,IF(Schedule!AG7=21,Schedule!#REF!))))))))))))))))))))))</f>
        <v>OFF</v>
      </c>
      <c r="AG7" s="72" t="e">
        <f>IF(Schedule!AH7=0,Schedule!$AQ$3,IF(Schedule!AH7=1,Schedule!$AQ$4,IF(Schedule!AH7=2,Schedule!$AQ$5,IF(Schedule!AH7=3,Schedule!$AQ$6,IF(Schedule!AH7=4,Schedule!$AQ$7,IF(Schedule!AH7=5,Schedule!$AQ$8,IF(Schedule!AH7=6,Schedule!$AQ$9,IF(Schedule!AH7=7,Schedule!$AQ$10,IF(Schedule!AH7=8,Schedule!#REF!,IF(Schedule!AH7=9,Schedule!$AQ$12,IF(Schedule!AH7=10,Schedule!$AQ$13,IF(Schedule!AH7=11,Schedule!#REF!,IF(Schedule!AH7=12,Schedule!#REF!,IF(Schedule!AH7=13,Schedule!$AQ$14,IF(Schedule!AH7=14,Schedule!#REF!,IF(Schedule!AH7=15,Schedule!$AQ$15,IF(Schedule!AH7=16,Schedule!#REF!,IF(Schedule!AH7=17,Schedule!#REF!,IF(Schedule!AH7=18,Schedule!$AQ$16,IF(Schedule!AH7=19,Schedule!$AQ$17,IF(Schedule!AH7=20,Schedule!$AQ$18,IF(Schedule!AH7=21,Schedule!#REF!))))))))))))))))))))))</f>
        <v>#REF!</v>
      </c>
      <c r="AH7" s="72" t="str">
        <f>IF(Schedule!AI7=0,Schedule!$AQ$3,IF(Schedule!AI7=1,Schedule!$AQ$4,IF(Schedule!AI7=2,Schedule!$AQ$5,IF(Schedule!AI7=3,Schedule!$AQ$6,IF(Schedule!AI7=4,Schedule!$AQ$7,IF(Schedule!AI7=5,Schedule!$AQ$8,IF(Schedule!AI7=6,Schedule!$AQ$9,IF(Schedule!AI7=7,Schedule!$AQ$10,IF(Schedule!AI7=8,Schedule!#REF!,IF(Schedule!AI7=9,Schedule!$AQ$12,IF(Schedule!AI7=10,Schedule!$AQ$13,IF(Schedule!AI7=11,Schedule!#REF!,IF(Schedule!AI7=12,Schedule!#REF!,IF(Schedule!AI7=13,Schedule!$AQ$14,IF(Schedule!AI7=14,Schedule!#REF!,IF(Schedule!AI7=15,Schedule!$AQ$15,IF(Schedule!AI7=16,Schedule!#REF!,IF(Schedule!AI7=17,Schedule!#REF!,IF(Schedule!AI7=18,Schedule!$AQ$16,IF(Schedule!AI7=19,Schedule!$AQ$17,IF(Schedule!AI7=20,Schedule!$AQ$18,IF(Schedule!AI7=21,Schedule!#REF!))))))))))))))))))))))</f>
        <v>Art(1)/ Stop 7</v>
      </c>
      <c r="AI7" s="72" t="str">
        <f>IF(Schedule!AJ7=0,Schedule!$AQ$3,IF(Schedule!AJ7=1,Schedule!$AQ$4,IF(Schedule!AJ7=2,Schedule!$AQ$5,IF(Schedule!AJ7=3,Schedule!$AQ$6,IF(Schedule!AJ7=4,Schedule!$AQ$7,IF(Schedule!AJ7=5,Schedule!$AQ$8,IF(Schedule!AJ7=6,Schedule!$AQ$9,IF(Schedule!AJ7=7,Schedule!$AQ$10,IF(Schedule!AJ7=8,Schedule!#REF!,IF(Schedule!AJ7=9,Schedule!$AQ$12,IF(Schedule!AJ7=10,Schedule!$AQ$13,IF(Schedule!AJ7=11,Schedule!#REF!,IF(Schedule!AJ7=12,Schedule!#REF!,IF(Schedule!AJ7=13,Schedule!$AQ$14,IF(Schedule!AJ7=14,Schedule!#REF!,IF(Schedule!AJ7=15,Schedule!$AQ$15,IF(Schedule!AJ7=16,Schedule!#REF!,IF(Schedule!AJ7=17,Schedule!#REF!,IF(Schedule!AJ7=18,Schedule!$AQ$16,IF(Schedule!AJ7=19,Schedule!$AQ$17,IF(Schedule!AJ7=20,Schedule!$AQ$18,IF(Schedule!AJ7=21,Schedule!#REF!))))))))))))))))))))))</f>
        <v>OFF</v>
      </c>
      <c r="AJ7" s="72" t="str">
        <f>IF(Schedule!AK7=0,Schedule!$AQ$3,IF(Schedule!AK7=1,Schedule!$AQ$4,IF(Schedule!AK7=2,Schedule!$AQ$5,IF(Schedule!AK7=3,Schedule!$AQ$6,IF(Schedule!AK7=4,Schedule!$AQ$7,IF(Schedule!AK7=5,Schedule!$AQ$8,IF(Schedule!AK7=6,Schedule!$AQ$9,IF(Schedule!AK7=7,Schedule!$AQ$10,IF(Schedule!AK7=8,Schedule!#REF!,IF(Schedule!AK7=9,Schedule!$AQ$12,IF(Schedule!AK7=10,Schedule!$AQ$13,IF(Schedule!AK7=11,Schedule!#REF!,IF(Schedule!AK7=12,Schedule!#REF!,IF(Schedule!AK7=13,Schedule!$AQ$14,IF(Schedule!AK7=14,Schedule!#REF!,IF(Schedule!AK7=15,Schedule!$AQ$15,IF(Schedule!AK7=16,Schedule!#REF!,IF(Schedule!AK7=17,Schedule!#REF!,IF(Schedule!AK7=18,Schedule!$AQ$16,IF(Schedule!AK7=19,Schedule!$AQ$17,IF(Schedule!AK7=20,Schedule!$AQ$18,IF(Schedule!AK7=21,Schedule!#REF!))))))))))))))))))))))</f>
        <v>OFF</v>
      </c>
      <c r="AK7" s="72" t="str">
        <f>IF(Schedule!AL7=0,Schedule!$AQ$3,IF(Schedule!AL7=1,Schedule!$AQ$4,IF(Schedule!AL7=2,Schedule!$AQ$5,IF(Schedule!AL7=3,Schedule!$AQ$6,IF(Schedule!AL7=4,Schedule!$AQ$7,IF(Schedule!AL7=5,Schedule!$AQ$8,IF(Schedule!AL7=6,Schedule!$AQ$9,IF(Schedule!AL7=7,Schedule!$AQ$10,IF(Schedule!AL7=8,Schedule!#REF!,IF(Schedule!AL7=9,Schedule!$AQ$12,IF(Schedule!AL7=10,Schedule!$AQ$13,IF(Schedule!AL7=11,Schedule!#REF!,IF(Schedule!AL7=12,Schedule!#REF!,IF(Schedule!AL7=13,Schedule!$AQ$14,IF(Schedule!AL7=14,Schedule!#REF!,IF(Schedule!AL7=15,Schedule!$AQ$15,IF(Schedule!AL7=16,Schedule!#REF!,IF(Schedule!AL7=17,Schedule!#REF!,IF(Schedule!AL7=18,Schedule!$AQ$16,IF(Schedule!AL7=19,Schedule!$AQ$17,IF(Schedule!AL7=20,Schedule!$AQ$18,IF(Schedule!AL7=21,Schedule!#REF!))))))))))))))))))))))</f>
        <v xml:space="preserve">VC(2)/ Booth  </v>
      </c>
    </row>
    <row r="8" spans="1:37" ht="22" customHeight="1" x14ac:dyDescent="0.2">
      <c r="A8" s="67" t="str">
        <f>Schedule!D8</f>
        <v>Doe</v>
      </c>
      <c r="B8" s="67" t="str">
        <f>Schedule!C8</f>
        <v>Jane</v>
      </c>
      <c r="C8" s="54"/>
      <c r="D8" s="54"/>
      <c r="E8" s="54"/>
      <c r="F8" s="64"/>
      <c r="G8" s="72" t="str">
        <f>IF(Schedule!E8=0,Schedule!$AQ$3,IF(Schedule!E8=1,Schedule!$AQ$4,IF(Schedule!E8=2,Schedule!$AQ$5,IF(Schedule!E8=3,Schedule!$AQ$6,IF(Schedule!E8=4,Schedule!$AQ$7,IF(Schedule!E8=5,Schedule!$AQ$8,IF(Schedule!E8=6,Schedule!$AQ$9,IF(Schedule!E8=7,Schedule!$AQ$10,IF(Schedule!E8=8,Schedule!#REF!,IF(Schedule!E8=9,Schedule!$AQ$12,IF(Schedule!E8=10,Schedule!$AQ$13,IF(Schedule!E8=11,Schedule!#REF!,IF(Schedule!E8=12,Schedule!#REF!,IF(Schedule!E8=13,Schedule!$AQ$14,IF(Schedule!E8=14,Schedule!#REF!,IF(Schedule!E8=15,Schedule!$AQ$15,IF(Schedule!E8=16,Schedule!#REF!,IF(Schedule!E8=17,Schedule!#REF!,IF(Schedule!E8=18,Schedule!$AQ$16,IF(Schedule!E8=19,Schedule!$AQ$17,IF(Schedule!E8=20,Schedule!$AQ$18,IF(Schedule!E8=21,Schedule!#REF!))))))))))))))))))))))</f>
        <v xml:space="preserve">Booth(2)/ VC </v>
      </c>
      <c r="H8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8" s="72" t="str">
        <f>IF(Schedule!F9=0,Schedule!$AQ$3,IF(Schedule!F9=1,Schedule!$AQ$4,IF(Schedule!F9=2,Schedule!$AQ$5,IF(Schedule!F9=3,Schedule!$AQ$6,IF(Schedule!F9=4,Schedule!$AQ$7,IF(Schedule!F9=5,Schedule!$AQ$8,IF(Schedule!F9=6,Schedule!$AQ$9,IF(Schedule!F9=7,Schedule!$AQ$10,IF(Schedule!F9=8,Schedule!#REF!,IF(Schedule!F9=9,Schedule!$AQ$12,IF(Schedule!F9=10,Schedule!$AQ$13,IF(Schedule!F9=11,Schedule!#REF!,IF(Schedule!F9=12,Schedule!#REF!,IF(Schedule!F9=13,Schedule!$AQ$14,IF(Schedule!F9=14,Schedule!#REF!,IF(Schedule!F9=15,Schedule!$AQ$15,IF(Schedule!F9=16,Schedule!#REF!,IF(Schedule!F9=17,Schedule!#REF!,IF(Schedule!F9=18,Schedule!$AQ$16,IF(Schedule!F9=19,Schedule!$AQ$17,IF(Schedule!F9=20,Schedule!$AQ$18,IF(Schedule!F9=21,Schedule!#REF!))))))))))))))))))))))</f>
        <v>OFF</v>
      </c>
      <c r="J8" s="72" t="str">
        <f>IF(Schedule!J11=0,Schedule!$AQ$3,IF(Schedule!J11=1,Schedule!$AQ$4,IF(Schedule!J11=2,Schedule!$AQ$5,IF(Schedule!J11=3,Schedule!$AQ$6,IF(Schedule!J11=4,Schedule!$AQ$7,IF(Schedule!J11=5,Schedule!$AQ$8,IF(Schedule!J11=6,Schedule!$AQ$9,IF(Schedule!J11=7,Schedule!$AQ$10,IF(Schedule!J11=8,Schedule!#REF!,IF(Schedule!J11=9,Schedule!$AQ$12,IF(Schedule!J11=10,Schedule!$AQ$13,IF(Schedule!J11=11,Schedule!#REF!,IF(Schedule!J11=12,Schedule!#REF!,IF(Schedule!J11=13,Schedule!$AQ$14,IF(Schedule!J11=14,Schedule!#REF!,IF(Schedule!J11=15,Schedule!$AQ$15,IF(Schedule!J11=16,Schedule!#REF!,IF(Schedule!J11=17,Schedule!#REF!,IF(Schedule!J11=18,Schedule!$AQ$16,IF(Schedule!J11=19,Schedule!$AQ$17,IF(Schedule!J11=20,Schedule!$AQ$18,IF(Schedule!J11=21,Schedule!#REF!))))))))))))))))))))))</f>
        <v>OFF</v>
      </c>
      <c r="K8" s="72" t="str">
        <f>IF(Schedule!K8=0,Schedule!$AQ$3,IF(Schedule!K8=1,Schedule!$AQ$4,IF(Schedule!K8=2,Schedule!$AQ$5,IF(Schedule!K8=3,Schedule!$AQ$6,IF(Schedule!K8=4,Schedule!$AQ$7,IF(Schedule!K8=5,Schedule!$AQ$8,IF(Schedule!K8=6,Schedule!$AQ$9,IF(Schedule!K8=7,Schedule!$AQ$10,IF(Schedule!K8=8,Schedule!#REF!,IF(Schedule!K8=9,Schedule!$AQ$12,IF(Schedule!K8=10,Schedule!$AQ$13,IF(Schedule!K8=11,Schedule!#REF!,IF(Schedule!K8=12,Schedule!#REF!,IF(Schedule!K8=13,Schedule!$AQ$14,IF(Schedule!K8=14,Schedule!#REF!,IF(Schedule!K8=15,Schedule!$AQ$15,IF(Schedule!K8=16,Schedule!#REF!,IF(Schedule!K8=17,Schedule!#REF!,IF(Schedule!K8=18,Schedule!$AQ$16,IF(Schedule!K8=19,Schedule!$AQ$17,IF(Schedule!K8=20,Schedule!$AQ$18,IF(Schedule!K8=21,Schedule!#REF!))))))))))))))))))))))</f>
        <v>OFF</v>
      </c>
      <c r="L8" s="72" t="str">
        <f>IF(Schedule!M8=0,Schedule!$AQ$3,IF(Schedule!M8=1,Schedule!$AQ$4,IF(Schedule!M8=2,Schedule!$AQ$5,IF(Schedule!M8=3,Schedule!$AQ$6,IF(Schedule!M8=4,Schedule!$AQ$7,IF(Schedule!M8=5,Schedule!$AQ$8,IF(Schedule!M8=6,Schedule!$AQ$9,IF(Schedule!M8=7,Schedule!$AQ$10,IF(Schedule!M8=8,Schedule!#REF!,IF(Schedule!M8=9,Schedule!$AQ$12,IF(Schedule!M8=10,Schedule!$AQ$13,IF(Schedule!M8=11,Schedule!#REF!,IF(Schedule!M8=12,Schedule!#REF!,IF(Schedule!M8=13,Schedule!$AQ$14,IF(Schedule!M8=14,Schedule!#REF!,IF(Schedule!M8=15,Schedule!$AQ$15,IF(Schedule!M8=16,Schedule!#REF!,IF(Schedule!M8=17,Schedule!#REF!,IF(Schedule!M8=18,Schedule!$AQ$16,IF(Schedule!M8=19,Schedule!$AQ$17,IF(Schedule!M8=20,Schedule!$AQ$18,IF(Schedule!M8=21,Schedule!#REF!))))))))))))))))))))))</f>
        <v xml:space="preserve">VC(2)/ Booth  </v>
      </c>
      <c r="M8" s="72" t="str">
        <f>IF(Schedule!N8=0,Schedule!$AQ$3,IF(Schedule!N8=1,Schedule!$AQ$4,IF(Schedule!N8=2,Schedule!$AQ$5,IF(Schedule!N8=3,Schedule!$AQ$6,IF(Schedule!N8=4,Schedule!$AQ$7,IF(Schedule!N8=5,Schedule!$AQ$8,IF(Schedule!N8=6,Schedule!$AQ$9,IF(Schedule!N8=7,Schedule!$AQ$10,IF(Schedule!N8=8,Schedule!#REF!,IF(Schedule!N8=9,Schedule!$AQ$12,IF(Schedule!N8=10,Schedule!$AQ$13,IF(Schedule!N8=11,Schedule!#REF!,IF(Schedule!N8=12,Schedule!#REF!,IF(Schedule!N8=13,Schedule!$AQ$14,IF(Schedule!N8=14,Schedule!#REF!,IF(Schedule!N8=15,Schedule!$AQ$15,IF(Schedule!N8=16,Schedule!#REF!,IF(Schedule!N8=17,Schedule!#REF!,IF(Schedule!N8=18,Schedule!$AQ$16,IF(Schedule!N8=19,Schedule!$AQ$17,IF(Schedule!N8=20,Schedule!$AQ$18,IF(Schedule!N8=21,Schedule!#REF!))))))))))))))))))))))</f>
        <v>Stop 7(2)</v>
      </c>
      <c r="N8" s="72" t="str">
        <f>IF(Schedule!O8=0,Schedule!$AQ$3,IF(Schedule!O8=1,Schedule!$AQ$4,IF(Schedule!O8=2,Schedule!$AQ$5,IF(Schedule!O8=3,Schedule!$AQ$6,IF(Schedule!O8=4,Schedule!$AQ$7,IF(Schedule!O8=5,Schedule!$AQ$8,IF(Schedule!O8=6,Schedule!$AQ$9,IF(Schedule!O8=7,Schedule!$AQ$10,IF(Schedule!O8=8,Schedule!#REF!,IF(Schedule!O8=9,Schedule!$AQ$12,IF(Schedule!O8=10,Schedule!$AQ$13,IF(Schedule!O8=11,Schedule!#REF!,IF(Schedule!O8=12,Schedule!#REF!,IF(Schedule!O8=13,Schedule!$AQ$14,IF(Schedule!O8=14,Schedule!#REF!,IF(Schedule!O8=15,Schedule!$AQ$15,IF(Schedule!O8=16,Schedule!#REF!,IF(Schedule!O8=17,Schedule!#REF!,IF(Schedule!O8=18,Schedule!$AQ$16,IF(Schedule!O8=19,Schedule!$AQ$17,IF(Schedule!O8=20,Schedule!$AQ$18,IF(Schedule!O8=21,Schedule!#REF!))))))))))))))))))))))</f>
        <v>OFF</v>
      </c>
      <c r="O8" s="72" t="str">
        <f>IF(Schedule!P8=0,Schedule!$AQ$3,IF(Schedule!P8=1,Schedule!$AQ$4,IF(Schedule!P8=2,Schedule!$AQ$5,IF(Schedule!P8=3,Schedule!$AQ$6,IF(Schedule!P8=4,Schedule!$AQ$7,IF(Schedule!P8=5,Schedule!$AQ$8,IF(Schedule!P8=6,Schedule!$AQ$9,IF(Schedule!P8=7,Schedule!$AQ$10,IF(Schedule!P8=8,Schedule!#REF!,IF(Schedule!P8=9,Schedule!$AQ$12,IF(Schedule!P8=10,Schedule!$AQ$13,IF(Schedule!P8=11,Schedule!#REF!,IF(Schedule!P8=12,Schedule!#REF!,IF(Schedule!P8=13,Schedule!$AQ$14,IF(Schedule!P8=14,Schedule!#REF!,IF(Schedule!P8=15,Schedule!$AQ$15,IF(Schedule!P8=16,Schedule!#REF!,IF(Schedule!P8=17,Schedule!#REF!,IF(Schedule!P8=18,Schedule!$AQ$16,IF(Schedule!P8=19,Schedule!$AQ$17,IF(Schedule!P8=20,Schedule!$AQ$18,IF(Schedule!P8=21,Schedule!#REF!))))))))))))))))))))))</f>
        <v>OFF</v>
      </c>
      <c r="P8" s="72" t="e">
        <f>IF(Schedule!Q8=0,Schedule!$AQ$3,IF(Schedule!Q8=1,Schedule!$AQ$4,IF(Schedule!Q8=2,Schedule!$AQ$5,IF(Schedule!Q8=3,Schedule!$AQ$6,IF(Schedule!Q8=4,Schedule!$AQ$7,IF(Schedule!Q8=5,Schedule!$AQ$8,IF(Schedule!Q8=6,Schedule!$AQ$9,IF(Schedule!Q8=7,Schedule!$AQ$10,IF(Schedule!Q8=8,Schedule!#REF!,IF(Schedule!Q8=9,Schedule!$AQ$12,IF(Schedule!Q8=10,Schedule!$AQ$13,IF(Schedule!Q8=11,Schedule!#REF!,IF(Schedule!Q8=12,Schedule!#REF!,IF(Schedule!Q8=13,Schedule!$AQ$14,IF(Schedule!Q8=14,Schedule!#REF!,IF(Schedule!Q8=15,Schedule!$AQ$15,IF(Schedule!Q8=16,Schedule!#REF!,IF(Schedule!Q8=17,Schedule!#REF!,IF(Schedule!Q8=18,Schedule!$AQ$16,IF(Schedule!Q8=19,Schedule!$AQ$17,IF(Schedule!Q8=20,Schedule!$AQ$18,IF(Schedule!Q8=21,Schedule!#REF!))))))))))))))))))))))</f>
        <v>#REF!</v>
      </c>
      <c r="Q8" s="72" t="str">
        <f>IF(Schedule!R8=0,Schedule!$AQ$3,IF(Schedule!R8=1,Schedule!$AQ$4,IF(Schedule!R8=2,Schedule!$AQ$5,IF(Schedule!R8=3,Schedule!$AQ$6,IF(Schedule!R8=4,Schedule!$AQ$7,IF(Schedule!R8=5,Schedule!$AQ$8,IF(Schedule!R8=6,Schedule!$AQ$9,IF(Schedule!R8=7,Schedule!$AQ$10,IF(Schedule!R8=8,Schedule!#REF!,IF(Schedule!R8=9,Schedule!$AQ$12,IF(Schedule!R8=10,Schedule!$AQ$13,IF(Schedule!R8=11,Schedule!#REF!,IF(Schedule!R8=12,Schedule!#REF!,IF(Schedule!R8=13,Schedule!$AQ$14,IF(Schedule!R8=14,Schedule!#REF!,IF(Schedule!R8=15,Schedule!$AQ$15,IF(Schedule!R8=16,Schedule!#REF!,IF(Schedule!R8=17,Schedule!#REF!,IF(Schedule!R8=18,Schedule!$AQ$16,IF(Schedule!R8=19,Schedule!$AQ$17,IF(Schedule!R8=20,Schedule!$AQ$18,IF(Schedule!R8=21,Schedule!#REF!))))))))))))))))))))))</f>
        <v xml:space="preserve">VC(1)/ Booth </v>
      </c>
      <c r="R8" s="72" t="str">
        <f>IF(Schedule!S8=0,Schedule!$AQ$3,IF(Schedule!S8=1,Schedule!$AQ$4,IF(Schedule!S8=2,Schedule!$AQ$5,IF(Schedule!S8=3,Schedule!$AQ$6,IF(Schedule!S8=4,Schedule!$AQ$7,IF(Schedule!S8=5,Schedule!$AQ$8,IF(Schedule!S8=6,Schedule!$AQ$9,IF(Schedule!S8=7,Schedule!$AQ$10,IF(Schedule!S8=8,Schedule!#REF!,IF(Schedule!S8=9,Schedule!$AQ$12,IF(Schedule!S8=10,Schedule!$AQ$13,IF(Schedule!S8=11,Schedule!#REF!,IF(Schedule!S8=12,Schedule!#REF!,IF(Schedule!S8=13,Schedule!$AQ$14,IF(Schedule!S8=14,Schedule!#REF!,IF(Schedule!S8=15,Schedule!$AQ$15,IF(Schedule!S8=16,Schedule!#REF!,IF(Schedule!S8=17,Schedule!#REF!,IF(Schedule!S8=18,Schedule!$AQ$16,IF(Schedule!S8=19,Schedule!$AQ$17,IF(Schedule!S8=20,Schedule!$AQ$18,IF(Schedule!S8=21,Schedule!#REF!))))))))))))))))))))))</f>
        <v>OFF</v>
      </c>
      <c r="S8" s="72" t="str">
        <f>IF(Schedule!T8=0,Schedule!$AQ$3,IF(Schedule!T8=1,Schedule!$AQ$4,IF(Schedule!T8=2,Schedule!$AQ$5,IF(Schedule!T8=3,Schedule!$AQ$6,IF(Schedule!T8=4,Schedule!$AQ$7,IF(Schedule!T8=5,Schedule!$AQ$8,IF(Schedule!T8=6,Schedule!$AQ$9,IF(Schedule!T8=7,Schedule!$AQ$10,IF(Schedule!T8=8,Schedule!#REF!,IF(Schedule!T8=9,Schedule!$AQ$12,IF(Schedule!T8=10,Schedule!$AQ$13,IF(Schedule!T8=11,Schedule!#REF!,IF(Schedule!T8=12,Schedule!#REF!,IF(Schedule!T8=13,Schedule!$AQ$14,IF(Schedule!T8=14,Schedule!#REF!,IF(Schedule!T8=15,Schedule!$AQ$15,IF(Schedule!T8=16,Schedule!#REF!,IF(Schedule!T8=17,Schedule!#REF!,IF(Schedule!T8=18,Schedule!$AQ$16,IF(Schedule!T8=19,Schedule!$AQ$17,IF(Schedule!T8=20,Schedule!$AQ$18,IF(Schedule!T8=21,Schedule!#REF!))))))))))))))))))))))</f>
        <v>Stop 7(2)/ 5&amp;9</v>
      </c>
      <c r="T8" s="72" t="str">
        <f>IF(Schedule!U8=0,Schedule!$AQ$3,IF(Schedule!U8=1,Schedule!$AQ$4,IF(Schedule!U8=2,Schedule!$AQ$5,IF(Schedule!U8=3,Schedule!$AQ$6,IF(Schedule!U8=4,Schedule!$AQ$7,IF(Schedule!U8=5,Schedule!$AQ$8,IF(Schedule!U8=6,Schedule!$AQ$9,IF(Schedule!U8=7,Schedule!$AQ$10,IF(Schedule!U8=8,Schedule!#REF!,IF(Schedule!U8=9,Schedule!$AQ$12,IF(Schedule!U8=10,Schedule!$AQ$13,IF(Schedule!U8=11,Schedule!#REF!,IF(Schedule!U8=12,Schedule!#REF!,IF(Schedule!U8=13,Schedule!$AQ$14,IF(Schedule!U8=14,Schedule!#REF!,IF(Schedule!U8=15,Schedule!$AQ$15,IF(Schedule!U8=16,Schedule!#REF!,IF(Schedule!U8=17,Schedule!#REF!,IF(Schedule!U8=18,Schedule!$AQ$16,IF(Schedule!U8=19,Schedule!$AQ$17,IF(Schedule!U8=20,Schedule!$AQ$18,IF(Schedule!U8=21,Schedule!#REF!))))))))))))))))))))))</f>
        <v>Stop 14(2)</v>
      </c>
      <c r="U8" s="72" t="str">
        <f>IF(Schedule!V8=0,Schedule!$AQ$3,IF(Schedule!V8=1,Schedule!$AQ$4,IF(Schedule!V8=2,Schedule!$AQ$5,IF(Schedule!V8=3,Schedule!$AQ$6,IF(Schedule!V8=4,Schedule!$AQ$7,IF(Schedule!V8=5,Schedule!$AQ$8,IF(Schedule!V8=6,Schedule!$AQ$9,IF(Schedule!V8=7,Schedule!$AQ$10,IF(Schedule!V8=8,Schedule!#REF!,IF(Schedule!V8=9,Schedule!$AQ$12,IF(Schedule!V8=10,Schedule!$AQ$13,IF(Schedule!V8=11,Schedule!#REF!,IF(Schedule!V8=12,Schedule!#REF!,IF(Schedule!V8=13,Schedule!$AQ$14,IF(Schedule!V8=14,Schedule!#REF!,IF(Schedule!V8=15,Schedule!$AQ$15,IF(Schedule!V8=16,Schedule!#REF!,IF(Schedule!V8=17,Schedule!#REF!,IF(Schedule!V8=18,Schedule!$AQ$16,IF(Schedule!V8=19,Schedule!$AQ$17,IF(Schedule!V8=20,Schedule!$AQ$18,IF(Schedule!V8=21,Schedule!#REF!))))))))))))))))))))))</f>
        <v>OFF</v>
      </c>
      <c r="V8" s="72" t="str">
        <f>IF(Schedule!W8=0,Schedule!$AQ$3,IF(Schedule!W8=1,Schedule!$AQ$4,IF(Schedule!W8=2,Schedule!$AQ$5,IF(Schedule!W8=3,Schedule!$AQ$6,IF(Schedule!W8=4,Schedule!$AQ$7,IF(Schedule!W8=5,Schedule!$AQ$8,IF(Schedule!W8=6,Schedule!$AQ$9,IF(Schedule!W8=7,Schedule!$AQ$10,IF(Schedule!W8=8,Schedule!#REF!,IF(Schedule!W8=9,Schedule!$AQ$12,IF(Schedule!W8=10,Schedule!$AQ$13,IF(Schedule!W8=11,Schedule!#REF!,IF(Schedule!W8=12,Schedule!#REF!,IF(Schedule!W8=13,Schedule!$AQ$14,IF(Schedule!W8=14,Schedule!#REF!,IF(Schedule!W8=15,Schedule!$AQ$15,IF(Schedule!W8=16,Schedule!#REF!,IF(Schedule!W8=17,Schedule!#REF!,IF(Schedule!W8=18,Schedule!$AQ$16,IF(Schedule!W8=19,Schedule!$AQ$17,IF(Schedule!W8=20,Schedule!$AQ$18,IF(Schedule!W8=21,Schedule!#REF!))))))))))))))))))))))</f>
        <v>OFF</v>
      </c>
      <c r="W8" s="72" t="e">
        <f>IF(Schedule!X8=0,Schedule!$AQ$3,IF(Schedule!X8=1,Schedule!$AQ$4,IF(Schedule!X8=2,Schedule!$AQ$5,IF(Schedule!X8=3,Schedule!$AQ$6,IF(Schedule!X8=4,Schedule!$AQ$7,IF(Schedule!X8=5,Schedule!$AQ$8,IF(Schedule!X8=6,Schedule!$AQ$9,IF(Schedule!X8=7,Schedule!$AQ$10,IF(Schedule!X8=8,Schedule!#REF!,IF(Schedule!X8=9,Schedule!$AQ$12,IF(Schedule!X8=10,Schedule!$AQ$13,IF(Schedule!X8=11,Schedule!#REF!,IF(Schedule!X8=12,Schedule!#REF!,IF(Schedule!X8=13,Schedule!$AQ$14,IF(Schedule!X8=14,Schedule!#REF!,IF(Schedule!X8=15,Schedule!$AQ$15,IF(Schedule!X8=16,Schedule!#REF!,IF(Schedule!X8=17,Schedule!#REF!,IF(Schedule!X8=18,Schedule!$AQ$16,IF(Schedule!X8=19,Schedule!$AQ$17,IF(Schedule!X8=20,Schedule!$AQ$18,IF(Schedule!X8=21,Schedule!#REF!))))))))))))))))))))))</f>
        <v>#REF!</v>
      </c>
      <c r="X8" s="72" t="str">
        <f>IF(Schedule!Y8=0,Schedule!$AQ$3,IF(Schedule!Y8=1,Schedule!$AQ$4,IF(Schedule!Y8=2,Schedule!$AQ$5,IF(Schedule!Y8=3,Schedule!$AQ$6,IF(Schedule!Y8=4,Schedule!$AQ$7,IF(Schedule!Y8=5,Schedule!$AQ$8,IF(Schedule!Y8=6,Schedule!$AQ$9,IF(Schedule!Y8=7,Schedule!$AQ$10,IF(Schedule!Y8=8,Schedule!#REF!,IF(Schedule!Y8=9,Schedule!$AQ$12,IF(Schedule!Y8=10,Schedule!$AQ$13,IF(Schedule!Y8=11,Schedule!#REF!,IF(Schedule!Y8=12,Schedule!#REF!,IF(Schedule!Y8=13,Schedule!$AQ$14,IF(Schedule!Y8=14,Schedule!#REF!,IF(Schedule!Y8=15,Schedule!$AQ$15,IF(Schedule!Y8=16,Schedule!#REF!,IF(Schedule!Y8=17,Schedule!#REF!,IF(Schedule!Y8=18,Schedule!$AQ$16,IF(Schedule!Y8=19,Schedule!$AQ$17,IF(Schedule!Y8=20,Schedule!$AQ$18,IF(Schedule!Y8=21,Schedule!#REF!))))))))))))))))))))))</f>
        <v xml:space="preserve">Booth(2)/ VC </v>
      </c>
      <c r="Y8" s="72" t="str">
        <f>IF(Schedule!Z8=0,Schedule!$AQ$3,IF(Schedule!Z8=1,Schedule!$AQ$4,IF(Schedule!Z8=2,Schedule!$AQ$5,IF(Schedule!Z8=3,Schedule!$AQ$6,IF(Schedule!Z8=4,Schedule!$AQ$7,IF(Schedule!Z8=5,Schedule!$AQ$8,IF(Schedule!Z8=6,Schedule!$AQ$9,IF(Schedule!Z8=7,Schedule!$AQ$10,IF(Schedule!Z8=8,Schedule!#REF!,IF(Schedule!Z8=9,Schedule!$AQ$12,IF(Schedule!Z8=10,Schedule!$AQ$13,IF(Schedule!Z8=11,Schedule!#REF!,IF(Schedule!Z8=12,Schedule!#REF!,IF(Schedule!Z8=13,Schedule!$AQ$14,IF(Schedule!Z8=14,Schedule!#REF!,IF(Schedule!Z8=15,Schedule!$AQ$15,IF(Schedule!Z8=16,Schedule!#REF!,IF(Schedule!Z8=17,Schedule!#REF!,IF(Schedule!Z8=18,Schedule!$AQ$16,IF(Schedule!Z8=19,Schedule!$AQ$17,IF(Schedule!Z8=20,Schedule!$AQ$18,IF(Schedule!Z8=21,Schedule!#REF!))))))))))))))))))))))</f>
        <v>OFF</v>
      </c>
      <c r="Z8" s="72" t="str">
        <f>IF(Schedule!AA8=0,Schedule!$AQ$3,IF(Schedule!AA8=1,Schedule!$AQ$4,IF(Schedule!AA8=2,Schedule!$AQ$5,IF(Schedule!AA8=3,Schedule!$AQ$6,IF(Schedule!AA8=4,Schedule!$AQ$7,IF(Schedule!AA8=5,Schedule!$AQ$8,IF(Schedule!AA8=6,Schedule!$AQ$9,IF(Schedule!AA8=7,Schedule!$AQ$10,IF(Schedule!AA8=8,Schedule!#REF!,IF(Schedule!AA8=9,Schedule!$AQ$12,IF(Schedule!AA8=10,Schedule!$AQ$13,IF(Schedule!AA8=11,Schedule!#REF!,IF(Schedule!AA8=12,Schedule!#REF!,IF(Schedule!AA8=13,Schedule!$AQ$14,IF(Schedule!AA8=14,Schedule!#REF!,IF(Schedule!AA8=15,Schedule!$AQ$15,IF(Schedule!AA8=16,Schedule!#REF!,IF(Schedule!AA8=17,Schedule!#REF!,IF(Schedule!AA8=18,Schedule!$AQ$16,IF(Schedule!AA8=19,Schedule!$AQ$17,IF(Schedule!AA8=20,Schedule!$AQ$18,IF(Schedule!AA8=21,Schedule!#REF!))))))))))))))))))))))</f>
        <v>OFF</v>
      </c>
      <c r="AA8" s="72" t="str">
        <f>IF(Schedule!AB8=0,Schedule!$AQ$3,IF(Schedule!AB8=1,Schedule!$AQ$4,IF(Schedule!AB8=2,Schedule!$AQ$5,IF(Schedule!AB8=3,Schedule!$AQ$6,IF(Schedule!AB8=4,Schedule!$AQ$7,IF(Schedule!AB8=5,Schedule!$AQ$8,IF(Schedule!AB8=6,Schedule!$AQ$9,IF(Schedule!AB8=7,Schedule!$AQ$10,IF(Schedule!AB8=8,Schedule!#REF!,IF(Schedule!AB8=9,Schedule!$AQ$12,IF(Schedule!AB8=10,Schedule!$AQ$13,IF(Schedule!AB8=11,Schedule!#REF!,IF(Schedule!AB8=12,Schedule!#REF!,IF(Schedule!AB8=13,Schedule!$AQ$14,IF(Schedule!AB8=14,Schedule!#REF!,IF(Schedule!AB8=15,Schedule!$AQ$15,IF(Schedule!AB8=16,Schedule!#REF!,IF(Schedule!AB8=17,Schedule!#REF!,IF(Schedule!AB8=18,Schedule!$AQ$16,IF(Schedule!AB8=19,Schedule!$AQ$17,IF(Schedule!AB8=20,Schedule!$AQ$18,IF(Schedule!AB8=21,Schedule!#REF!))))))))))))))))))))))</f>
        <v>Stop 7(2)/ 5&amp;9</v>
      </c>
      <c r="AB8" s="72" t="str">
        <f>IF(Schedule!AC8=0,Schedule!$AQ$3,IF(Schedule!AC8=1,Schedule!$AQ$4,IF(Schedule!AC8=2,Schedule!$AQ$5,IF(Schedule!AC8=3,Schedule!$AQ$6,IF(Schedule!AC8=4,Schedule!$AQ$7,IF(Schedule!AC8=5,Schedule!$AQ$8,IF(Schedule!AC8=6,Schedule!$AQ$9,IF(Schedule!AC8=7,Schedule!$AQ$10,IF(Schedule!AC8=8,Schedule!#REF!,IF(Schedule!AC8=9,Schedule!$AQ$12,IF(Schedule!AC8=10,Schedule!$AQ$13,IF(Schedule!AC8=11,Schedule!#REF!,IF(Schedule!AC8=12,Schedule!#REF!,IF(Schedule!AC8=13,Schedule!$AQ$14,IF(Schedule!AC8=14,Schedule!#REF!,IF(Schedule!AC8=15,Schedule!$AQ$15,IF(Schedule!AC8=16,Schedule!#REF!,IF(Schedule!AC8=17,Schedule!#REF!,IF(Schedule!AC8=18,Schedule!$AQ$16,IF(Schedule!AC8=19,Schedule!$AQ$17,IF(Schedule!AC8=20,Schedule!$AQ$18,IF(Schedule!AC8=21,Schedule!#REF!))))))))))))))))))))))</f>
        <v xml:space="preserve">Booth(1)/ VC </v>
      </c>
      <c r="AC8" s="72" t="str">
        <f>IF(Schedule!AD8=0,Schedule!$AQ$3,IF(Schedule!AD8=1,Schedule!$AQ$4,IF(Schedule!AD8=2,Schedule!$AQ$5,IF(Schedule!AD8=3,Schedule!$AQ$6,IF(Schedule!AD8=4,Schedule!$AQ$7,IF(Schedule!AD8=5,Schedule!$AQ$8,IF(Schedule!AD8=6,Schedule!$AQ$9,IF(Schedule!AD8=7,Schedule!$AQ$10,IF(Schedule!AD8=8,Schedule!#REF!,IF(Schedule!AD8=9,Schedule!$AQ$12,IF(Schedule!AD8=10,Schedule!$AQ$13,IF(Schedule!AD8=11,Schedule!#REF!,IF(Schedule!AD8=12,Schedule!#REF!,IF(Schedule!AD8=13,Schedule!$AQ$14,IF(Schedule!AD8=14,Schedule!#REF!,IF(Schedule!AD8=15,Schedule!$AQ$15,IF(Schedule!AD8=16,Schedule!#REF!,IF(Schedule!AD8=17,Schedule!#REF!,IF(Schedule!AD8=18,Schedule!$AQ$16,IF(Schedule!AD8=19,Schedule!$AQ$17,IF(Schedule!AD8=20,Schedule!$AQ$18,IF(Schedule!AD8=21,Schedule!#REF!))))))))))))))))))))))</f>
        <v>OFF</v>
      </c>
      <c r="AD8" s="72" t="str">
        <f>IF(Schedule!AE8=0,Schedule!$AQ$3,IF(Schedule!AE8=1,Schedule!$AQ$4,IF(Schedule!AE8=2,Schedule!$AQ$5,IF(Schedule!AE8=3,Schedule!$AQ$6,IF(Schedule!AE8=4,Schedule!$AQ$7,IF(Schedule!AE8=5,Schedule!$AQ$8,IF(Schedule!AE8=6,Schedule!$AQ$9,IF(Schedule!AE8=7,Schedule!$AQ$10,IF(Schedule!AE8=8,Schedule!#REF!,IF(Schedule!AE8=9,Schedule!$AQ$12,IF(Schedule!AE8=10,Schedule!$AQ$13,IF(Schedule!AE8=11,Schedule!#REF!,IF(Schedule!AE8=12,Schedule!#REF!,IF(Schedule!AE8=13,Schedule!$AQ$14,IF(Schedule!AE8=14,Schedule!#REF!,IF(Schedule!AE8=15,Schedule!$AQ$15,IF(Schedule!AE8=16,Schedule!#REF!,IF(Schedule!AE8=17,Schedule!#REF!,IF(Schedule!AE8=18,Schedule!$AQ$16,IF(Schedule!AE8=19,Schedule!$AQ$17,IF(Schedule!AE8=20,Schedule!$AQ$18,IF(Schedule!AE8=21,Schedule!#REF!))))))))))))))))))))))</f>
        <v>OFF</v>
      </c>
      <c r="AE8" s="72" t="str">
        <f>IF(Schedule!AF8=0,Schedule!$AQ$3,IF(Schedule!AF8=1,Schedule!$AQ$4,IF(Schedule!AF8=2,Schedule!$AQ$5,IF(Schedule!AF8=3,Schedule!$AQ$6,IF(Schedule!AF8=4,Schedule!$AQ$7,IF(Schedule!AF8=5,Schedule!$AQ$8,IF(Schedule!AF8=6,Schedule!$AQ$9,IF(Schedule!AF8=7,Schedule!$AQ$10,IF(Schedule!AF8=8,Schedule!#REF!,IF(Schedule!AF8=9,Schedule!$AQ$12,IF(Schedule!AF8=10,Schedule!$AQ$13,IF(Schedule!AF8=11,Schedule!#REF!,IF(Schedule!AF8=12,Schedule!#REF!,IF(Schedule!AF8=13,Schedule!$AQ$14,IF(Schedule!AF8=14,Schedule!#REF!,IF(Schedule!AF8=15,Schedule!$AQ$15,IF(Schedule!AF8=16,Schedule!#REF!,IF(Schedule!AF8=17,Schedule!#REF!,IF(Schedule!AF8=18,Schedule!$AQ$16,IF(Schedule!AF8=19,Schedule!$AQ$17,IF(Schedule!AF8=20,Schedule!$AQ$18,IF(Schedule!AF8=21,Schedule!#REF!))))))))))))))))))))))</f>
        <v xml:space="preserve">VC(2)/ Booth  </v>
      </c>
      <c r="AF8" s="72" t="str">
        <f>IF(Schedule!AG8=0,Schedule!$AQ$3,IF(Schedule!AG8=1,Schedule!$AQ$4,IF(Schedule!AG8=2,Schedule!$AQ$5,IF(Schedule!AG8=3,Schedule!$AQ$6,IF(Schedule!AG8=4,Schedule!$AQ$7,IF(Schedule!AG8=5,Schedule!$AQ$8,IF(Schedule!AG8=6,Schedule!$AQ$9,IF(Schedule!AG8=7,Schedule!$AQ$10,IF(Schedule!AG8=8,Schedule!#REF!,IF(Schedule!AG8=9,Schedule!$AQ$12,IF(Schedule!AG8=10,Schedule!$AQ$13,IF(Schedule!AG8=11,Schedule!#REF!,IF(Schedule!AG8=12,Schedule!#REF!,IF(Schedule!AG8=13,Schedule!$AQ$14,IF(Schedule!AG8=14,Schedule!#REF!,IF(Schedule!AG8=15,Schedule!$AQ$15,IF(Schedule!AG8=16,Schedule!#REF!,IF(Schedule!AG8=17,Schedule!#REF!,IF(Schedule!AG8=18,Schedule!$AQ$16,IF(Schedule!AG8=19,Schedule!$AQ$17,IF(Schedule!AG8=20,Schedule!$AQ$18,IF(Schedule!AG8=21,Schedule!#REF!))))))))))))))))))))))</f>
        <v>Stop 14(2)</v>
      </c>
      <c r="AG8" s="72" t="str">
        <f>IF(Schedule!AH8=0,Schedule!$AQ$3,IF(Schedule!AH8=1,Schedule!$AQ$4,IF(Schedule!AH8=2,Schedule!$AQ$5,IF(Schedule!AH8=3,Schedule!$AQ$6,IF(Schedule!AH8=4,Schedule!$AQ$7,IF(Schedule!AH8=5,Schedule!$AQ$8,IF(Schedule!AH8=6,Schedule!$AQ$9,IF(Schedule!AH8=7,Schedule!$AQ$10,IF(Schedule!AH8=8,Schedule!#REF!,IF(Schedule!AH8=9,Schedule!$AQ$12,IF(Schedule!AH8=10,Schedule!$AQ$13,IF(Schedule!AH8=11,Schedule!#REF!,IF(Schedule!AH8=12,Schedule!#REF!,IF(Schedule!AH8=13,Schedule!$AQ$14,IF(Schedule!AH8=14,Schedule!#REF!,IF(Schedule!AH8=15,Schedule!$AQ$15,IF(Schedule!AH8=16,Schedule!#REF!,IF(Schedule!AH8=17,Schedule!#REF!,IF(Schedule!AH8=18,Schedule!$AQ$16,IF(Schedule!AH8=19,Schedule!$AQ$17,IF(Schedule!AH8=20,Schedule!$AQ$18,IF(Schedule!AH8=21,Schedule!#REF!))))))))))))))))))))))</f>
        <v>OFF</v>
      </c>
      <c r="AH8" s="72" t="str">
        <f>IF(Schedule!AI8=0,Schedule!$AQ$3,IF(Schedule!AI8=1,Schedule!$AQ$4,IF(Schedule!AI8=2,Schedule!$AQ$5,IF(Schedule!AI8=3,Schedule!$AQ$6,IF(Schedule!AI8=4,Schedule!$AQ$7,IF(Schedule!AI8=5,Schedule!$AQ$8,IF(Schedule!AI8=6,Schedule!$AQ$9,IF(Schedule!AI8=7,Schedule!$AQ$10,IF(Schedule!AI8=8,Schedule!#REF!,IF(Schedule!AI8=9,Schedule!$AQ$12,IF(Schedule!AI8=10,Schedule!$AQ$13,IF(Schedule!AI8=11,Schedule!#REF!,IF(Schedule!AI8=12,Schedule!#REF!,IF(Schedule!AI8=13,Schedule!$AQ$14,IF(Schedule!AI8=14,Schedule!#REF!,IF(Schedule!AI8=15,Schedule!$AQ$15,IF(Schedule!AI8=16,Schedule!#REF!,IF(Schedule!AI8=17,Schedule!#REF!,IF(Schedule!AI8=18,Schedule!$AQ$16,IF(Schedule!AI8=19,Schedule!$AQ$17,IF(Schedule!AI8=20,Schedule!$AQ$18,IF(Schedule!AI8=21,Schedule!#REF!))))))))))))))))))))))</f>
        <v>OFF</v>
      </c>
      <c r="AI8" s="72" t="str">
        <f>IF(Schedule!AJ8=0,Schedule!$AQ$3,IF(Schedule!AJ8=1,Schedule!$AQ$4,IF(Schedule!AJ8=2,Schedule!$AQ$5,IF(Schedule!AJ8=3,Schedule!$AQ$6,IF(Schedule!AJ8=4,Schedule!$AQ$7,IF(Schedule!AJ8=5,Schedule!$AQ$8,IF(Schedule!AJ8=6,Schedule!$AQ$9,IF(Schedule!AJ8=7,Schedule!$AQ$10,IF(Schedule!AJ8=8,Schedule!#REF!,IF(Schedule!AJ8=9,Schedule!$AQ$12,IF(Schedule!AJ8=10,Schedule!$AQ$13,IF(Schedule!AJ8=11,Schedule!#REF!,IF(Schedule!AJ8=12,Schedule!#REF!,IF(Schedule!AJ8=13,Schedule!$AQ$14,IF(Schedule!AJ8=14,Schedule!#REF!,IF(Schedule!AJ8=15,Schedule!$AQ$15,IF(Schedule!AJ8=16,Schedule!#REF!,IF(Schedule!AJ8=17,Schedule!#REF!,IF(Schedule!AJ8=18,Schedule!$AQ$16,IF(Schedule!AJ8=19,Schedule!$AQ$17,IF(Schedule!AJ8=20,Schedule!$AQ$18,IF(Schedule!AJ8=21,Schedule!#REF!))))))))))))))))))))))</f>
        <v>Art(1)/ Stop 7</v>
      </c>
      <c r="AJ8" s="72" t="str">
        <f>IF(Schedule!AK8=0,Schedule!$AQ$3,IF(Schedule!AK8=1,Schedule!$AQ$4,IF(Schedule!AK8=2,Schedule!$AQ$5,IF(Schedule!AK8=3,Schedule!$AQ$6,IF(Schedule!AK8=4,Schedule!$AQ$7,IF(Schedule!AK8=5,Schedule!$AQ$8,IF(Schedule!AK8=6,Schedule!$AQ$9,IF(Schedule!AK8=7,Schedule!$AQ$10,IF(Schedule!AK8=8,Schedule!#REF!,IF(Schedule!AK8=9,Schedule!$AQ$12,IF(Schedule!AK8=10,Schedule!$AQ$13,IF(Schedule!AK8=11,Schedule!#REF!,IF(Schedule!AK8=12,Schedule!#REF!,IF(Schedule!AK8=13,Schedule!$AQ$14,IF(Schedule!AK8=14,Schedule!#REF!,IF(Schedule!AK8=15,Schedule!$AQ$15,IF(Schedule!AK8=16,Schedule!#REF!,IF(Schedule!AK8=17,Schedule!#REF!,IF(Schedule!AK8=18,Schedule!$AQ$16,IF(Schedule!AK8=19,Schedule!$AQ$17,IF(Schedule!AK8=20,Schedule!$AQ$18,IF(Schedule!AK8=21,Schedule!#REF!))))))))))))))))))))))</f>
        <v>Stop 7(2)</v>
      </c>
      <c r="AK8" s="72" t="str">
        <f>IF(Schedule!AL8=0,Schedule!$AQ$3,IF(Schedule!AL8=1,Schedule!$AQ$4,IF(Schedule!AL8=2,Schedule!$AQ$5,IF(Schedule!AL8=3,Schedule!$AQ$6,IF(Schedule!AL8=4,Schedule!$AQ$7,IF(Schedule!AL8=5,Schedule!$AQ$8,IF(Schedule!AL8=6,Schedule!$AQ$9,IF(Schedule!AL8=7,Schedule!$AQ$10,IF(Schedule!AL8=8,Schedule!#REF!,IF(Schedule!AL8=9,Schedule!$AQ$12,IF(Schedule!AL8=10,Schedule!$AQ$13,IF(Schedule!AL8=11,Schedule!#REF!,IF(Schedule!AL8=12,Schedule!#REF!,IF(Schedule!AL8=13,Schedule!$AQ$14,IF(Schedule!AL8=14,Schedule!#REF!,IF(Schedule!AL8=15,Schedule!$AQ$15,IF(Schedule!AL8=16,Schedule!#REF!,IF(Schedule!AL8=17,Schedule!#REF!,IF(Schedule!AL8=18,Schedule!$AQ$16,IF(Schedule!AL8=19,Schedule!$AQ$17,IF(Schedule!AL8=20,Schedule!$AQ$18,IF(Schedule!AL8=21,Schedule!#REF!))))))))))))))))))))))</f>
        <v>OFF</v>
      </c>
    </row>
    <row r="9" spans="1:37" ht="22" customHeight="1" x14ac:dyDescent="0.2">
      <c r="A9" s="67" t="str">
        <f>Schedule!D9</f>
        <v>Doe</v>
      </c>
      <c r="B9" s="67" t="str">
        <f>Schedule!C9</f>
        <v>Jane</v>
      </c>
      <c r="C9" s="54"/>
      <c r="D9" s="54"/>
      <c r="E9" s="54"/>
      <c r="F9" s="64"/>
      <c r="G9" s="72" t="str">
        <f>IF(Schedule!E9=0,Schedule!$AQ$3,IF(Schedule!E9=1,Schedule!$AQ$4,IF(Schedule!E9=2,Schedule!$AQ$5,IF(Schedule!E9=3,Schedule!$AQ$6,IF(Schedule!E9=4,Schedule!$AQ$7,IF(Schedule!E9=5,Schedule!$AQ$8,IF(Schedule!E9=6,Schedule!$AQ$9,IF(Schedule!E9=7,Schedule!$AQ$10,IF(Schedule!E9=8,Schedule!#REF!,IF(Schedule!E9=9,Schedule!$AQ$12,IF(Schedule!E9=10,Schedule!$AQ$13,IF(Schedule!E9=11,Schedule!#REF!,IF(Schedule!E9=12,Schedule!#REF!,IF(Schedule!E9=13,Schedule!$AQ$14,IF(Schedule!E9=14,Schedule!#REF!,IF(Schedule!E9=15,Schedule!$AQ$15,IF(Schedule!E9=16,Schedule!#REF!,IF(Schedule!E9=17,Schedule!#REF!,IF(Schedule!E9=18,Schedule!$AQ$16,IF(Schedule!E9=19,Schedule!$AQ$17,IF(Schedule!E9=20,Schedule!$AQ$18,IF(Schedule!E9=21,Schedule!#REF!))))))))))))))))))))))</f>
        <v>OFF</v>
      </c>
      <c r="H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9" s="72" t="str">
        <f>IF(Schedule!F10=0,Schedule!$AQ$3,IF(Schedule!F10=1,Schedule!$AQ$4,IF(Schedule!F10=2,Schedule!$AQ$5,IF(Schedule!F10=3,Schedule!$AQ$6,IF(Schedule!F10=4,Schedule!$AQ$7,IF(Schedule!F10=5,Schedule!$AQ$8,IF(Schedule!F10=6,Schedule!$AQ$9,IF(Schedule!F10=7,Schedule!$AQ$10,IF(Schedule!F10=8,Schedule!#REF!,IF(Schedule!F10=9,Schedule!$AQ$12,IF(Schedule!F10=10,Schedule!$AQ$13,IF(Schedule!F10=11,Schedule!#REF!,IF(Schedule!F10=12,Schedule!#REF!,IF(Schedule!F10=13,Schedule!$AQ$14,IF(Schedule!F10=14,Schedule!#REF!,IF(Schedule!F10=15,Schedule!$AQ$15,IF(Schedule!F10=16,Schedule!#REF!,IF(Schedule!F10=17,Schedule!#REF!,IF(Schedule!F10=18,Schedule!$AQ$16,IF(Schedule!F10=19,Schedule!$AQ$17,IF(Schedule!F10=20,Schedule!$AQ$18,IF(Schedule!F10=21,Schedule!#REF!))))))))))))))))))))))</f>
        <v xml:space="preserve">Booth(2)/ VC </v>
      </c>
      <c r="J9" s="72" t="str">
        <f>IF(Schedule!J12=0,Schedule!$AQ$3,IF(Schedule!J12=1,Schedule!$AQ$4,IF(Schedule!J12=2,Schedule!$AQ$5,IF(Schedule!J12=3,Schedule!$AQ$6,IF(Schedule!J12=4,Schedule!$AQ$7,IF(Schedule!J12=5,Schedule!$AQ$8,IF(Schedule!J12=6,Schedule!$AQ$9,IF(Schedule!J12=7,Schedule!$AQ$10,IF(Schedule!J12=8,Schedule!#REF!,IF(Schedule!J12=9,Schedule!$AQ$12,IF(Schedule!J12=10,Schedule!$AQ$13,IF(Schedule!J12=11,Schedule!#REF!,IF(Schedule!J12=12,Schedule!#REF!,IF(Schedule!J12=13,Schedule!$AQ$14,IF(Schedule!J12=14,Schedule!#REF!,IF(Schedule!J12=15,Schedule!$AQ$15,IF(Schedule!J12=16,Schedule!#REF!,IF(Schedule!J12=17,Schedule!#REF!,IF(Schedule!J12=18,Schedule!$AQ$16,IF(Schedule!J12=19,Schedule!$AQ$17,IF(Schedule!J12=20,Schedule!$AQ$18,IF(Schedule!J12=21,Schedule!#REF!))))))))))))))))))))))</f>
        <v xml:space="preserve">Booth(1)/ VC </v>
      </c>
      <c r="K9" s="72" t="e">
        <f>IF(Schedule!K9=0,Schedule!$AQ$3,IF(Schedule!K9=1,Schedule!$AQ$4,IF(Schedule!K9=2,Schedule!$AQ$5,IF(Schedule!K9=3,Schedule!$AQ$6,IF(Schedule!K9=4,Schedule!$AQ$7,IF(Schedule!K9=5,Schedule!$AQ$8,IF(Schedule!K9=6,Schedule!$AQ$9,IF(Schedule!K9=7,Schedule!$AQ$10,IF(Schedule!K9=8,Schedule!#REF!,IF(Schedule!K9=9,Schedule!$AQ$12,IF(Schedule!K9=10,Schedule!$AQ$13,IF(Schedule!K9=11,Schedule!#REF!,IF(Schedule!K9=12,Schedule!#REF!,IF(Schedule!K9=13,Schedule!$AQ$14,IF(Schedule!K9=14,Schedule!#REF!,IF(Schedule!K9=15,Schedule!$AQ$15,IF(Schedule!K9=16,Schedule!#REF!,IF(Schedule!K9=17,Schedule!#REF!,IF(Schedule!K9=18,Schedule!$AQ$16,IF(Schedule!K9=19,Schedule!$AQ$17,IF(Schedule!K9=20,Schedule!$AQ$18,IF(Schedule!K9=21,Schedule!#REF!))))))))))))))))))))))</f>
        <v>#REF!</v>
      </c>
      <c r="L9" s="72" t="str">
        <f>IF(Schedule!M9=0,Schedule!$AQ$3,IF(Schedule!M9=1,Schedule!$AQ$4,IF(Schedule!M9=2,Schedule!$AQ$5,IF(Schedule!M9=3,Schedule!$AQ$6,IF(Schedule!M9=4,Schedule!$AQ$7,IF(Schedule!M9=5,Schedule!$AQ$8,IF(Schedule!M9=6,Schedule!$AQ$9,IF(Schedule!M9=7,Schedule!$AQ$10,IF(Schedule!M9=8,Schedule!#REF!,IF(Schedule!M9=9,Schedule!$AQ$12,IF(Schedule!M9=10,Schedule!$AQ$13,IF(Schedule!M9=11,Schedule!#REF!,IF(Schedule!M9=12,Schedule!#REF!,IF(Schedule!M9=13,Schedule!$AQ$14,IF(Schedule!M9=14,Schedule!#REF!,IF(Schedule!M9=15,Schedule!$AQ$15,IF(Schedule!M9=16,Schedule!#REF!,IF(Schedule!M9=17,Schedule!#REF!,IF(Schedule!M9=18,Schedule!$AQ$16,IF(Schedule!M9=19,Schedule!$AQ$17,IF(Schedule!M9=20,Schedule!$AQ$18,IF(Schedule!M9=21,Schedule!#REF!))))))))))))))))))))))</f>
        <v>OFF</v>
      </c>
      <c r="M9" s="72" t="str">
        <f>IF(Schedule!N9=0,Schedule!$AQ$3,IF(Schedule!N9=1,Schedule!$AQ$4,IF(Schedule!N9=2,Schedule!$AQ$5,IF(Schedule!N9=3,Schedule!$AQ$6,IF(Schedule!N9=4,Schedule!$AQ$7,IF(Schedule!N9=5,Schedule!$AQ$8,IF(Schedule!N9=6,Schedule!$AQ$9,IF(Schedule!N9=7,Schedule!$AQ$10,IF(Schedule!N9=8,Schedule!#REF!,IF(Schedule!N9=9,Schedule!$AQ$12,IF(Schedule!N9=10,Schedule!$AQ$13,IF(Schedule!N9=11,Schedule!#REF!,IF(Schedule!N9=12,Schedule!#REF!,IF(Schedule!N9=13,Schedule!$AQ$14,IF(Schedule!N9=14,Schedule!#REF!,IF(Schedule!N9=15,Schedule!$AQ$15,IF(Schedule!N9=16,Schedule!#REF!,IF(Schedule!N9=17,Schedule!#REF!,IF(Schedule!N9=18,Schedule!$AQ$16,IF(Schedule!N9=19,Schedule!$AQ$17,IF(Schedule!N9=20,Schedule!$AQ$18,IF(Schedule!N9=21,Schedule!#REF!))))))))))))))))))))))</f>
        <v>OFF</v>
      </c>
      <c r="N9" s="72" t="str">
        <f>IF(Schedule!O9=0,Schedule!$AQ$3,IF(Schedule!O9=1,Schedule!$AQ$4,IF(Schedule!O9=2,Schedule!$AQ$5,IF(Schedule!O9=3,Schedule!$AQ$6,IF(Schedule!O9=4,Schedule!$AQ$7,IF(Schedule!O9=5,Schedule!$AQ$8,IF(Schedule!O9=6,Schedule!$AQ$9,IF(Schedule!O9=7,Schedule!$AQ$10,IF(Schedule!O9=8,Schedule!#REF!,IF(Schedule!O9=9,Schedule!$AQ$12,IF(Schedule!O9=10,Schedule!$AQ$13,IF(Schedule!O9=11,Schedule!#REF!,IF(Schedule!O9=12,Schedule!#REF!,IF(Schedule!O9=13,Schedule!$AQ$14,IF(Schedule!O9=14,Schedule!#REF!,IF(Schedule!O9=15,Schedule!$AQ$15,IF(Schedule!O9=16,Schedule!#REF!,IF(Schedule!O9=17,Schedule!#REF!,IF(Schedule!O9=18,Schedule!$AQ$16,IF(Schedule!O9=19,Schedule!$AQ$17,IF(Schedule!O9=20,Schedule!$AQ$18,IF(Schedule!O9=21,Schedule!#REF!))))))))))))))))))))))</f>
        <v xml:space="preserve">Booth(2)/ VC </v>
      </c>
      <c r="O9" s="72" t="str">
        <f>IF(Schedule!P9=0,Schedule!$AQ$3,IF(Schedule!P9=1,Schedule!$AQ$4,IF(Schedule!P9=2,Schedule!$AQ$5,IF(Schedule!P9=3,Schedule!$AQ$6,IF(Schedule!P9=4,Schedule!$AQ$7,IF(Schedule!P9=5,Schedule!$AQ$8,IF(Schedule!P9=6,Schedule!$AQ$9,IF(Schedule!P9=7,Schedule!$AQ$10,IF(Schedule!P9=8,Schedule!#REF!,IF(Schedule!P9=9,Schedule!$AQ$12,IF(Schedule!P9=10,Schedule!$AQ$13,IF(Schedule!P9=11,Schedule!#REF!,IF(Schedule!P9=12,Schedule!#REF!,IF(Schedule!P9=13,Schedule!$AQ$14,IF(Schedule!P9=14,Schedule!#REF!,IF(Schedule!P9=15,Schedule!$AQ$15,IF(Schedule!P9=16,Schedule!#REF!,IF(Schedule!P9=17,Schedule!#REF!,IF(Schedule!P9=18,Schedule!$AQ$16,IF(Schedule!P9=19,Schedule!$AQ$17,IF(Schedule!P9=20,Schedule!$AQ$18,IF(Schedule!P9=21,Schedule!#REF!))))))))))))))))))))))</f>
        <v xml:space="preserve">VC(2)/ Booth  </v>
      </c>
      <c r="P9" s="72" t="str">
        <f>IF(Schedule!Q9=0,Schedule!$AQ$3,IF(Schedule!Q9=1,Schedule!$AQ$4,IF(Schedule!Q9=2,Schedule!$AQ$5,IF(Schedule!Q9=3,Schedule!$AQ$6,IF(Schedule!Q9=4,Schedule!$AQ$7,IF(Schedule!Q9=5,Schedule!$AQ$8,IF(Schedule!Q9=6,Schedule!$AQ$9,IF(Schedule!Q9=7,Schedule!$AQ$10,IF(Schedule!Q9=8,Schedule!#REF!,IF(Schedule!Q9=9,Schedule!$AQ$12,IF(Schedule!Q9=10,Schedule!$AQ$13,IF(Schedule!Q9=11,Schedule!#REF!,IF(Schedule!Q9=12,Schedule!#REF!,IF(Schedule!Q9=13,Schedule!$AQ$14,IF(Schedule!Q9=14,Schedule!#REF!,IF(Schedule!Q9=15,Schedule!$AQ$15,IF(Schedule!Q9=16,Schedule!#REF!,IF(Schedule!Q9=17,Schedule!#REF!,IF(Schedule!Q9=18,Schedule!$AQ$16,IF(Schedule!Q9=19,Schedule!$AQ$17,IF(Schedule!Q9=20,Schedule!$AQ$18,IF(Schedule!Q9=21,Schedule!#REF!))))))))))))))))))))))</f>
        <v>Stop 14(2)</v>
      </c>
      <c r="Q9" s="72" t="str">
        <f>IF(Schedule!R9=0,Schedule!$AQ$3,IF(Schedule!R9=1,Schedule!$AQ$4,IF(Schedule!R9=2,Schedule!$AQ$5,IF(Schedule!R9=3,Schedule!$AQ$6,IF(Schedule!R9=4,Schedule!$AQ$7,IF(Schedule!R9=5,Schedule!$AQ$8,IF(Schedule!R9=6,Schedule!$AQ$9,IF(Schedule!R9=7,Schedule!$AQ$10,IF(Schedule!R9=8,Schedule!#REF!,IF(Schedule!R9=9,Schedule!$AQ$12,IF(Schedule!R9=10,Schedule!$AQ$13,IF(Schedule!R9=11,Schedule!#REF!,IF(Schedule!R9=12,Schedule!#REF!,IF(Schedule!R9=13,Schedule!$AQ$14,IF(Schedule!R9=14,Schedule!#REF!,IF(Schedule!R9=15,Schedule!$AQ$15,IF(Schedule!R9=16,Schedule!#REF!,IF(Schedule!R9=17,Schedule!#REF!,IF(Schedule!R9=18,Schedule!$AQ$16,IF(Schedule!R9=19,Schedule!$AQ$17,IF(Schedule!R9=20,Schedule!$AQ$18,IF(Schedule!R9=21,Schedule!#REF!))))))))))))))))))))))</f>
        <v xml:space="preserve">Booth(1)/ VC </v>
      </c>
      <c r="R9" s="72" t="str">
        <f>IF(Schedule!S9=0,Schedule!$AQ$3,IF(Schedule!S9=1,Schedule!$AQ$4,IF(Schedule!S9=2,Schedule!$AQ$5,IF(Schedule!S9=3,Schedule!$AQ$6,IF(Schedule!S9=4,Schedule!$AQ$7,IF(Schedule!S9=5,Schedule!$AQ$8,IF(Schedule!S9=6,Schedule!$AQ$9,IF(Schedule!S9=7,Schedule!$AQ$10,IF(Schedule!S9=8,Schedule!#REF!,IF(Schedule!S9=9,Schedule!$AQ$12,IF(Schedule!S9=10,Schedule!$AQ$13,IF(Schedule!S9=11,Schedule!#REF!,IF(Schedule!S9=12,Schedule!#REF!,IF(Schedule!S9=13,Schedule!$AQ$14,IF(Schedule!S9=14,Schedule!#REF!,IF(Schedule!S9=15,Schedule!$AQ$15,IF(Schedule!S9=16,Schedule!#REF!,IF(Schedule!S9=17,Schedule!#REF!,IF(Schedule!S9=18,Schedule!$AQ$16,IF(Schedule!S9=19,Schedule!$AQ$17,IF(Schedule!S9=20,Schedule!$AQ$18,IF(Schedule!S9=21,Schedule!#REF!))))))))))))))))))))))</f>
        <v>Art(1)/ Stop 7</v>
      </c>
      <c r="S9" s="72" t="str">
        <f>IF(Schedule!T9=0,Schedule!$AQ$3,IF(Schedule!T9=1,Schedule!$AQ$4,IF(Schedule!T9=2,Schedule!$AQ$5,IF(Schedule!T9=3,Schedule!$AQ$6,IF(Schedule!T9=4,Schedule!$AQ$7,IF(Schedule!T9=5,Schedule!$AQ$8,IF(Schedule!T9=6,Schedule!$AQ$9,IF(Schedule!T9=7,Schedule!$AQ$10,IF(Schedule!T9=8,Schedule!#REF!,IF(Schedule!T9=9,Schedule!$AQ$12,IF(Schedule!T9=10,Schedule!$AQ$13,IF(Schedule!T9=11,Schedule!#REF!,IF(Schedule!T9=12,Schedule!#REF!,IF(Schedule!T9=13,Schedule!$AQ$14,IF(Schedule!T9=14,Schedule!#REF!,IF(Schedule!T9=15,Schedule!$AQ$15,IF(Schedule!T9=16,Schedule!#REF!,IF(Schedule!T9=17,Schedule!#REF!,IF(Schedule!T9=18,Schedule!$AQ$16,IF(Schedule!T9=19,Schedule!$AQ$17,IF(Schedule!T9=20,Schedule!$AQ$18,IF(Schedule!T9=21,Schedule!#REF!))))))))))))))))))))))</f>
        <v>OFF</v>
      </c>
      <c r="T9" s="72" t="str">
        <f>IF(Schedule!U9=0,Schedule!$AQ$3,IF(Schedule!U9=1,Schedule!$AQ$4,IF(Schedule!U9=2,Schedule!$AQ$5,IF(Schedule!U9=3,Schedule!$AQ$6,IF(Schedule!U9=4,Schedule!$AQ$7,IF(Schedule!U9=5,Schedule!$AQ$8,IF(Schedule!U9=6,Schedule!$AQ$9,IF(Schedule!U9=7,Schedule!$AQ$10,IF(Schedule!U9=8,Schedule!#REF!,IF(Schedule!U9=9,Schedule!$AQ$12,IF(Schedule!U9=10,Schedule!$AQ$13,IF(Schedule!U9=11,Schedule!#REF!,IF(Schedule!U9=12,Schedule!#REF!,IF(Schedule!U9=13,Schedule!$AQ$14,IF(Schedule!U9=14,Schedule!#REF!,IF(Schedule!U9=15,Schedule!$AQ$15,IF(Schedule!U9=16,Schedule!#REF!,IF(Schedule!U9=17,Schedule!#REF!,IF(Schedule!U9=18,Schedule!$AQ$16,IF(Schedule!U9=19,Schedule!$AQ$17,IF(Schedule!U9=20,Schedule!$AQ$18,IF(Schedule!U9=21,Schedule!#REF!))))))))))))))))))))))</f>
        <v>OFF</v>
      </c>
      <c r="U9" s="72" t="str">
        <f>IF(Schedule!V9=0,Schedule!$AQ$3,IF(Schedule!V9=1,Schedule!$AQ$4,IF(Schedule!V9=2,Schedule!$AQ$5,IF(Schedule!V9=3,Schedule!$AQ$6,IF(Schedule!V9=4,Schedule!$AQ$7,IF(Schedule!V9=5,Schedule!$AQ$8,IF(Schedule!V9=6,Schedule!$AQ$9,IF(Schedule!V9=7,Schedule!$AQ$10,IF(Schedule!V9=8,Schedule!#REF!,IF(Schedule!V9=9,Schedule!$AQ$12,IF(Schedule!V9=10,Schedule!$AQ$13,IF(Schedule!V9=11,Schedule!#REF!,IF(Schedule!V9=12,Schedule!#REF!,IF(Schedule!V9=13,Schedule!$AQ$14,IF(Schedule!V9=14,Schedule!#REF!,IF(Schedule!V9=15,Schedule!$AQ$15,IF(Schedule!V9=16,Schedule!#REF!,IF(Schedule!V9=17,Schedule!#REF!,IF(Schedule!V9=18,Schedule!$AQ$16,IF(Schedule!V9=19,Schedule!$AQ$17,IF(Schedule!V9=20,Schedule!$AQ$18,IF(Schedule!V9=21,Schedule!#REF!))))))))))))))))))))))</f>
        <v xml:space="preserve">VC(2)/ Booth  </v>
      </c>
      <c r="V9" s="72" t="str">
        <f>IF(Schedule!W9=0,Schedule!$AQ$3,IF(Schedule!W9=1,Schedule!$AQ$4,IF(Schedule!W9=2,Schedule!$AQ$5,IF(Schedule!W9=3,Schedule!$AQ$6,IF(Schedule!W9=4,Schedule!$AQ$7,IF(Schedule!W9=5,Schedule!$AQ$8,IF(Schedule!W9=6,Schedule!$AQ$9,IF(Schedule!W9=7,Schedule!$AQ$10,IF(Schedule!W9=8,Schedule!#REF!,IF(Schedule!W9=9,Schedule!$AQ$12,IF(Schedule!W9=10,Schedule!$AQ$13,IF(Schedule!W9=11,Schedule!#REF!,IF(Schedule!W9=12,Schedule!#REF!,IF(Schedule!W9=13,Schedule!$AQ$14,IF(Schedule!W9=14,Schedule!#REF!,IF(Schedule!W9=15,Schedule!$AQ$15,IF(Schedule!W9=16,Schedule!#REF!,IF(Schedule!W9=17,Schedule!#REF!,IF(Schedule!W9=18,Schedule!$AQ$16,IF(Schedule!W9=19,Schedule!$AQ$17,IF(Schedule!W9=20,Schedule!$AQ$18,IF(Schedule!W9=21,Schedule!#REF!))))))))))))))))))))))</f>
        <v>Stop 7(2)/ 5&amp;9</v>
      </c>
      <c r="W9" s="72" t="str">
        <f>IF(Schedule!X9=0,Schedule!$AQ$3,IF(Schedule!X9=1,Schedule!$AQ$4,IF(Schedule!X9=2,Schedule!$AQ$5,IF(Schedule!X9=3,Schedule!$AQ$6,IF(Schedule!X9=4,Schedule!$AQ$7,IF(Schedule!X9=5,Schedule!$AQ$8,IF(Schedule!X9=6,Schedule!$AQ$9,IF(Schedule!X9=7,Schedule!$AQ$10,IF(Schedule!X9=8,Schedule!#REF!,IF(Schedule!X9=9,Schedule!$AQ$12,IF(Schedule!X9=10,Schedule!$AQ$13,IF(Schedule!X9=11,Schedule!#REF!,IF(Schedule!X9=12,Schedule!#REF!,IF(Schedule!X9=13,Schedule!$AQ$14,IF(Schedule!X9=14,Schedule!#REF!,IF(Schedule!X9=15,Schedule!$AQ$15,IF(Schedule!X9=16,Schedule!#REF!,IF(Schedule!X9=17,Schedule!#REF!,IF(Schedule!X9=18,Schedule!$AQ$16,IF(Schedule!X9=19,Schedule!$AQ$17,IF(Schedule!X9=20,Schedule!$AQ$18,IF(Schedule!X9=21,Schedule!#REF!))))))))))))))))))))))</f>
        <v>OFF</v>
      </c>
      <c r="X9" s="72" t="str">
        <f>IF(Schedule!Y9=0,Schedule!$AQ$3,IF(Schedule!Y9=1,Schedule!$AQ$4,IF(Schedule!Y9=2,Schedule!$AQ$5,IF(Schedule!Y9=3,Schedule!$AQ$6,IF(Schedule!Y9=4,Schedule!$AQ$7,IF(Schedule!Y9=5,Schedule!$AQ$8,IF(Schedule!Y9=6,Schedule!$AQ$9,IF(Schedule!Y9=7,Schedule!$AQ$10,IF(Schedule!Y9=8,Schedule!#REF!,IF(Schedule!Y9=9,Schedule!$AQ$12,IF(Schedule!Y9=10,Schedule!$AQ$13,IF(Schedule!Y9=11,Schedule!#REF!,IF(Schedule!Y9=12,Schedule!#REF!,IF(Schedule!Y9=13,Schedule!$AQ$14,IF(Schedule!Y9=14,Schedule!#REF!,IF(Schedule!Y9=15,Schedule!$AQ$15,IF(Schedule!Y9=16,Schedule!#REF!,IF(Schedule!Y9=17,Schedule!#REF!,IF(Schedule!Y9=18,Schedule!$AQ$16,IF(Schedule!Y9=19,Schedule!$AQ$17,IF(Schedule!Y9=20,Schedule!$AQ$18,IF(Schedule!Y9=21,Schedule!#REF!))))))))))))))))))))))</f>
        <v>OFF</v>
      </c>
      <c r="Y9" s="72" t="str">
        <f>IF(Schedule!Z9=0,Schedule!$AQ$3,IF(Schedule!Z9=1,Schedule!$AQ$4,IF(Schedule!Z9=2,Schedule!$AQ$5,IF(Schedule!Z9=3,Schedule!$AQ$6,IF(Schedule!Z9=4,Schedule!$AQ$7,IF(Schedule!Z9=5,Schedule!$AQ$8,IF(Schedule!Z9=6,Schedule!$AQ$9,IF(Schedule!Z9=7,Schedule!$AQ$10,IF(Schedule!Z9=8,Schedule!#REF!,IF(Schedule!Z9=9,Schedule!$AQ$12,IF(Schedule!Z9=10,Schedule!$AQ$13,IF(Schedule!Z9=11,Schedule!#REF!,IF(Schedule!Z9=12,Schedule!#REF!,IF(Schedule!Z9=13,Schedule!$AQ$14,IF(Schedule!Z9=14,Schedule!#REF!,IF(Schedule!Z9=15,Schedule!$AQ$15,IF(Schedule!Z9=16,Schedule!#REF!,IF(Schedule!Z9=17,Schedule!#REF!,IF(Schedule!Z9=18,Schedule!$AQ$16,IF(Schedule!Z9=19,Schedule!$AQ$17,IF(Schedule!Z9=20,Schedule!$AQ$18,IF(Schedule!Z9=21,Schedule!#REF!))))))))))))))))))))))</f>
        <v xml:space="preserve">Booth(2)/ VC </v>
      </c>
      <c r="Z9" s="72" t="e">
        <f>IF(Schedule!AA9=0,Schedule!$AQ$3,IF(Schedule!AA9=1,Schedule!$AQ$4,IF(Schedule!AA9=2,Schedule!$AQ$5,IF(Schedule!AA9=3,Schedule!$AQ$6,IF(Schedule!AA9=4,Schedule!$AQ$7,IF(Schedule!AA9=5,Schedule!$AQ$8,IF(Schedule!AA9=6,Schedule!$AQ$9,IF(Schedule!AA9=7,Schedule!$AQ$10,IF(Schedule!AA9=8,Schedule!#REF!,IF(Schedule!AA9=9,Schedule!$AQ$12,IF(Schedule!AA9=10,Schedule!$AQ$13,IF(Schedule!AA9=11,Schedule!#REF!,IF(Schedule!AA9=12,Schedule!#REF!,IF(Schedule!AA9=13,Schedule!$AQ$14,IF(Schedule!AA9=14,Schedule!#REF!,IF(Schedule!AA9=15,Schedule!$AQ$15,IF(Schedule!AA9=16,Schedule!#REF!,IF(Schedule!AA9=17,Schedule!#REF!,IF(Schedule!AA9=18,Schedule!$AQ$16,IF(Schedule!AA9=19,Schedule!$AQ$17,IF(Schedule!AA9=20,Schedule!$AQ$18,IF(Schedule!AA9=21,Schedule!#REF!))))))))))))))))))))))</f>
        <v>#REF!</v>
      </c>
      <c r="AA9" s="72" t="str">
        <f>IF(Schedule!AB9=0,Schedule!$AQ$3,IF(Schedule!AB9=1,Schedule!$AQ$4,IF(Schedule!AB9=2,Schedule!$AQ$5,IF(Schedule!AB9=3,Schedule!$AQ$6,IF(Schedule!AB9=4,Schedule!$AQ$7,IF(Schedule!AB9=5,Schedule!$AQ$8,IF(Schedule!AB9=6,Schedule!$AQ$9,IF(Schedule!AB9=7,Schedule!$AQ$10,IF(Schedule!AB9=8,Schedule!#REF!,IF(Schedule!AB9=9,Schedule!$AQ$12,IF(Schedule!AB9=10,Schedule!$AQ$13,IF(Schedule!AB9=11,Schedule!#REF!,IF(Schedule!AB9=12,Schedule!#REF!,IF(Schedule!AB9=13,Schedule!$AQ$14,IF(Schedule!AB9=14,Schedule!#REF!,IF(Schedule!AB9=15,Schedule!$AQ$15,IF(Schedule!AB9=16,Schedule!#REF!,IF(Schedule!AB9=17,Schedule!#REF!,IF(Schedule!AB9=18,Schedule!$AQ$16,IF(Schedule!AB9=19,Schedule!$AQ$17,IF(Schedule!AB9=20,Schedule!$AQ$18,IF(Schedule!AB9=21,Schedule!#REF!))))))))))))))))))))))</f>
        <v xml:space="preserve">Booth(1)/ VC </v>
      </c>
      <c r="AB9" s="72" t="str">
        <f>IF(Schedule!AC9=0,Schedule!$AQ$3,IF(Schedule!AC9=1,Schedule!$AQ$4,IF(Schedule!AC9=2,Schedule!$AQ$5,IF(Schedule!AC9=3,Schedule!$AQ$6,IF(Schedule!AC9=4,Schedule!$AQ$7,IF(Schedule!AC9=5,Schedule!$AQ$8,IF(Schedule!AC9=6,Schedule!$AQ$9,IF(Schedule!AC9=7,Schedule!$AQ$10,IF(Schedule!AC9=8,Schedule!#REF!,IF(Schedule!AC9=9,Schedule!$AQ$12,IF(Schedule!AC9=10,Schedule!$AQ$13,IF(Schedule!AC9=11,Schedule!#REF!,IF(Schedule!AC9=12,Schedule!#REF!,IF(Schedule!AC9=13,Schedule!$AQ$14,IF(Schedule!AC9=14,Schedule!#REF!,IF(Schedule!AC9=15,Schedule!$AQ$15,IF(Schedule!AC9=16,Schedule!#REF!,IF(Schedule!AC9=17,Schedule!#REF!,IF(Schedule!AC9=18,Schedule!$AQ$16,IF(Schedule!AC9=19,Schedule!$AQ$17,IF(Schedule!AC9=20,Schedule!$AQ$18,IF(Schedule!AC9=21,Schedule!#REF!))))))))))))))))))))))</f>
        <v>OFF</v>
      </c>
      <c r="AC9" s="72" t="str">
        <f>IF(Schedule!AD9=0,Schedule!$AQ$3,IF(Schedule!AD9=1,Schedule!$AQ$4,IF(Schedule!AD9=2,Schedule!$AQ$5,IF(Schedule!AD9=3,Schedule!$AQ$6,IF(Schedule!AD9=4,Schedule!$AQ$7,IF(Schedule!AD9=5,Schedule!$AQ$8,IF(Schedule!AD9=6,Schedule!$AQ$9,IF(Schedule!AD9=7,Schedule!$AQ$10,IF(Schedule!AD9=8,Schedule!#REF!,IF(Schedule!AD9=9,Schedule!$AQ$12,IF(Schedule!AD9=10,Schedule!$AQ$13,IF(Schedule!AD9=11,Schedule!#REF!,IF(Schedule!AD9=12,Schedule!#REF!,IF(Schedule!AD9=13,Schedule!$AQ$14,IF(Schedule!AD9=14,Schedule!#REF!,IF(Schedule!AD9=15,Schedule!$AQ$15,IF(Schedule!AD9=16,Schedule!#REF!,IF(Schedule!AD9=17,Schedule!#REF!,IF(Schedule!AD9=18,Schedule!$AQ$16,IF(Schedule!AD9=19,Schedule!$AQ$17,IF(Schedule!AD9=20,Schedule!$AQ$18,IF(Schedule!AD9=21,Schedule!#REF!))))))))))))))))))))))</f>
        <v>OFF</v>
      </c>
      <c r="AD9" s="72" t="str">
        <f>IF(Schedule!AE9=0,Schedule!$AQ$3,IF(Schedule!AE9=1,Schedule!$AQ$4,IF(Schedule!AE9=2,Schedule!$AQ$5,IF(Schedule!AE9=3,Schedule!$AQ$6,IF(Schedule!AE9=4,Schedule!$AQ$7,IF(Schedule!AE9=5,Schedule!$AQ$8,IF(Schedule!AE9=6,Schedule!$AQ$9,IF(Schedule!AE9=7,Schedule!$AQ$10,IF(Schedule!AE9=8,Schedule!#REF!,IF(Schedule!AE9=9,Schedule!$AQ$12,IF(Schedule!AE9=10,Schedule!$AQ$13,IF(Schedule!AE9=11,Schedule!#REF!,IF(Schedule!AE9=12,Schedule!#REF!,IF(Schedule!AE9=13,Schedule!$AQ$14,IF(Schedule!AE9=14,Schedule!#REF!,IF(Schedule!AE9=15,Schedule!$AQ$15,IF(Schedule!AE9=16,Schedule!#REF!,IF(Schedule!AE9=17,Schedule!#REF!,IF(Schedule!AE9=18,Schedule!$AQ$16,IF(Schedule!AE9=19,Schedule!$AQ$17,IF(Schedule!AE9=20,Schedule!$AQ$18,IF(Schedule!AE9=21,Schedule!#REF!))))))))))))))))))))))</f>
        <v>Stop 7(2)/ 5&amp;9</v>
      </c>
      <c r="AE9" s="72" t="str">
        <f>IF(Schedule!AF9=0,Schedule!$AQ$3,IF(Schedule!AF9=1,Schedule!$AQ$4,IF(Schedule!AF9=2,Schedule!$AQ$5,IF(Schedule!AF9=3,Schedule!$AQ$6,IF(Schedule!AF9=4,Schedule!$AQ$7,IF(Schedule!AF9=5,Schedule!$AQ$8,IF(Schedule!AF9=6,Schedule!$AQ$9,IF(Schedule!AF9=7,Schedule!$AQ$10,IF(Schedule!AF9=8,Schedule!#REF!,IF(Schedule!AF9=9,Schedule!$AQ$12,IF(Schedule!AF9=10,Schedule!$AQ$13,IF(Schedule!AF9=11,Schedule!#REF!,IF(Schedule!AF9=12,Schedule!#REF!,IF(Schedule!AF9=13,Schedule!$AQ$14,IF(Schedule!AF9=14,Schedule!#REF!,IF(Schedule!AF9=15,Schedule!$AQ$15,IF(Schedule!AF9=16,Schedule!#REF!,IF(Schedule!AF9=17,Schedule!#REF!,IF(Schedule!AF9=18,Schedule!$AQ$16,IF(Schedule!AF9=19,Schedule!$AQ$17,IF(Schedule!AF9=20,Schedule!$AQ$18,IF(Schedule!AF9=21,Schedule!#REF!))))))))))))))))))))))</f>
        <v>Art(1)/ Stop 7</v>
      </c>
      <c r="AF9" s="72" t="str">
        <f>IF(Schedule!AG9=0,Schedule!$AQ$3,IF(Schedule!AG9=1,Schedule!$AQ$4,IF(Schedule!AG9=2,Schedule!$AQ$5,IF(Schedule!AG9=3,Schedule!$AQ$6,IF(Schedule!AG9=4,Schedule!$AQ$7,IF(Schedule!AG9=5,Schedule!$AQ$8,IF(Schedule!AG9=6,Schedule!$AQ$9,IF(Schedule!AG9=7,Schedule!$AQ$10,IF(Schedule!AG9=8,Schedule!#REF!,IF(Schedule!AG9=9,Schedule!$AQ$12,IF(Schedule!AG9=10,Schedule!$AQ$13,IF(Schedule!AG9=11,Schedule!#REF!,IF(Schedule!AG9=12,Schedule!#REF!,IF(Schedule!AG9=13,Schedule!$AQ$14,IF(Schedule!AG9=14,Schedule!#REF!,IF(Schedule!AG9=15,Schedule!$AQ$15,IF(Schedule!AG9=16,Schedule!#REF!,IF(Schedule!AG9=17,Schedule!#REF!,IF(Schedule!AG9=18,Schedule!$AQ$16,IF(Schedule!AG9=19,Schedule!$AQ$17,IF(Schedule!AG9=20,Schedule!$AQ$18,IF(Schedule!AG9=21,Schedule!#REF!))))))))))))))))))))))</f>
        <v>Stop 14(2)</v>
      </c>
      <c r="AG9" s="72" t="str">
        <f>IF(Schedule!AH9=0,Schedule!$AQ$3,IF(Schedule!AH9=1,Schedule!$AQ$4,IF(Schedule!AH9=2,Schedule!$AQ$5,IF(Schedule!AH9=3,Schedule!$AQ$6,IF(Schedule!AH9=4,Schedule!$AQ$7,IF(Schedule!AH9=5,Schedule!$AQ$8,IF(Schedule!AH9=6,Schedule!$AQ$9,IF(Schedule!AH9=7,Schedule!$AQ$10,IF(Schedule!AH9=8,Schedule!#REF!,IF(Schedule!AH9=9,Schedule!$AQ$12,IF(Schedule!AH9=10,Schedule!$AQ$13,IF(Schedule!AH9=11,Schedule!#REF!,IF(Schedule!AH9=12,Schedule!#REF!,IF(Schedule!AH9=13,Schedule!$AQ$14,IF(Schedule!AH9=14,Schedule!#REF!,IF(Schedule!AH9=15,Schedule!$AQ$15,IF(Schedule!AH9=16,Schedule!#REF!,IF(Schedule!AH9=17,Schedule!#REF!,IF(Schedule!AH9=18,Schedule!$AQ$16,IF(Schedule!AH9=19,Schedule!$AQ$17,IF(Schedule!AH9=20,Schedule!$AQ$18,IF(Schedule!AH9=21,Schedule!#REF!))))))))))))))))))))))</f>
        <v>OFF</v>
      </c>
      <c r="AH9" s="72" t="str">
        <f>IF(Schedule!AI9=0,Schedule!$AQ$3,IF(Schedule!AI9=1,Schedule!$AQ$4,IF(Schedule!AI9=2,Schedule!$AQ$5,IF(Schedule!AI9=3,Schedule!$AQ$6,IF(Schedule!AI9=4,Schedule!$AQ$7,IF(Schedule!AI9=5,Schedule!$AQ$8,IF(Schedule!AI9=6,Schedule!$AQ$9,IF(Schedule!AI9=7,Schedule!$AQ$10,IF(Schedule!AI9=8,Schedule!#REF!,IF(Schedule!AI9=9,Schedule!$AQ$12,IF(Schedule!AI9=10,Schedule!$AQ$13,IF(Schedule!AI9=11,Schedule!#REF!,IF(Schedule!AI9=12,Schedule!#REF!,IF(Schedule!AI9=13,Schedule!$AQ$14,IF(Schedule!AI9=14,Schedule!#REF!,IF(Schedule!AI9=15,Schedule!$AQ$15,IF(Schedule!AI9=16,Schedule!#REF!,IF(Schedule!AI9=17,Schedule!#REF!,IF(Schedule!AI9=18,Schedule!$AQ$16,IF(Schedule!AI9=19,Schedule!$AQ$17,IF(Schedule!AI9=20,Schedule!$AQ$18,IF(Schedule!AI9=21,Schedule!#REF!))))))))))))))))))))))</f>
        <v>Stop 7(2)</v>
      </c>
      <c r="AI9" s="72" t="str">
        <f>IF(Schedule!AJ9=0,Schedule!$AQ$3,IF(Schedule!AJ9=1,Schedule!$AQ$4,IF(Schedule!AJ9=2,Schedule!$AQ$5,IF(Schedule!AJ9=3,Schedule!$AQ$6,IF(Schedule!AJ9=4,Schedule!$AQ$7,IF(Schedule!AJ9=5,Schedule!$AQ$8,IF(Schedule!AJ9=6,Schedule!$AQ$9,IF(Schedule!AJ9=7,Schedule!$AQ$10,IF(Schedule!AJ9=8,Schedule!#REF!,IF(Schedule!AJ9=9,Schedule!$AQ$12,IF(Schedule!AJ9=10,Schedule!$AQ$13,IF(Schedule!AJ9=11,Schedule!#REF!,IF(Schedule!AJ9=12,Schedule!#REF!,IF(Schedule!AJ9=13,Schedule!$AQ$14,IF(Schedule!AJ9=14,Schedule!#REF!,IF(Schedule!AJ9=15,Schedule!$AQ$15,IF(Schedule!AJ9=16,Schedule!#REF!,IF(Schedule!AJ9=17,Schedule!#REF!,IF(Schedule!AJ9=18,Schedule!$AQ$16,IF(Schedule!AJ9=19,Schedule!$AQ$17,IF(Schedule!AJ9=20,Schedule!$AQ$18,IF(Schedule!AJ9=21,Schedule!#REF!))))))))))))))))))))))</f>
        <v>Stop 14(2)</v>
      </c>
      <c r="AJ9" s="72" t="str">
        <f>IF(Schedule!AK9=0,Schedule!$AQ$3,IF(Schedule!AK9=1,Schedule!$AQ$4,IF(Schedule!AK9=2,Schedule!$AQ$5,IF(Schedule!AK9=3,Schedule!$AQ$6,IF(Schedule!AK9=4,Schedule!$AQ$7,IF(Schedule!AK9=5,Schedule!$AQ$8,IF(Schedule!AK9=6,Schedule!$AQ$9,IF(Schedule!AK9=7,Schedule!$AQ$10,IF(Schedule!AK9=8,Schedule!#REF!,IF(Schedule!AK9=9,Schedule!$AQ$12,IF(Schedule!AK9=10,Schedule!$AQ$13,IF(Schedule!AK9=11,Schedule!#REF!,IF(Schedule!AK9=12,Schedule!#REF!,IF(Schedule!AK9=13,Schedule!$AQ$14,IF(Schedule!AK9=14,Schedule!#REF!,IF(Schedule!AK9=15,Schedule!$AQ$15,IF(Schedule!AK9=16,Schedule!#REF!,IF(Schedule!AK9=17,Schedule!#REF!,IF(Schedule!AK9=18,Schedule!$AQ$16,IF(Schedule!AK9=19,Schedule!$AQ$17,IF(Schedule!AK9=20,Schedule!$AQ$18,IF(Schedule!AK9=21,Schedule!#REF!))))))))))))))))))))))</f>
        <v>Stop 14(2)</v>
      </c>
      <c r="AK9" s="72" t="str">
        <f>IF(Schedule!AL9=0,Schedule!$AQ$3,IF(Schedule!AL9=1,Schedule!$AQ$4,IF(Schedule!AL9=2,Schedule!$AQ$5,IF(Schedule!AL9=3,Schedule!$AQ$6,IF(Schedule!AL9=4,Schedule!$AQ$7,IF(Schedule!AL9=5,Schedule!$AQ$8,IF(Schedule!AL9=6,Schedule!$AQ$9,IF(Schedule!AL9=7,Schedule!$AQ$10,IF(Schedule!AL9=8,Schedule!#REF!,IF(Schedule!AL9=9,Schedule!$AQ$12,IF(Schedule!AL9=10,Schedule!$AQ$13,IF(Schedule!AL9=11,Schedule!#REF!,IF(Schedule!AL9=12,Schedule!#REF!,IF(Schedule!AL9=13,Schedule!$AQ$14,IF(Schedule!AL9=14,Schedule!#REF!,IF(Schedule!AL9=15,Schedule!$AQ$15,IF(Schedule!AL9=16,Schedule!#REF!,IF(Schedule!AL9=17,Schedule!#REF!,IF(Schedule!AL9=18,Schedule!$AQ$16,IF(Schedule!AL9=19,Schedule!$AQ$17,IF(Schedule!AL9=20,Schedule!$AQ$18,IF(Schedule!AL9=21,Schedule!#REF!))))))))))))))))))))))</f>
        <v>OFF</v>
      </c>
    </row>
    <row r="10" spans="1:37" ht="22" customHeight="1" x14ac:dyDescent="0.2">
      <c r="A10" s="67" t="str">
        <f>Schedule!D11</f>
        <v>Doe</v>
      </c>
      <c r="B10" s="67" t="str">
        <f>Schedule!C11</f>
        <v>Jane</v>
      </c>
      <c r="C10" s="54"/>
      <c r="D10" s="54"/>
      <c r="E10" s="54"/>
      <c r="F10" s="64"/>
      <c r="G10" s="72" t="str">
        <f>IF(Schedule!E11=0,Schedule!$AQ$3,IF(Schedule!E11=1,Schedule!$AQ$4,IF(Schedule!E11=2,Schedule!$AQ$5,IF(Schedule!E11=3,Schedule!$AQ$6,IF(Schedule!E11=4,Schedule!$AQ$7,IF(Schedule!E11=5,Schedule!$AQ$8,IF(Schedule!E11=6,Schedule!$AQ$9,IF(Schedule!E11=7,Schedule!$AQ$10,IF(Schedule!E11=8,Schedule!#REF!,IF(Schedule!E11=9,Schedule!$AQ$12,IF(Schedule!E11=10,Schedule!$AQ$13,IF(Schedule!E11=11,Schedule!#REF!,IF(Schedule!E11=12,Schedule!#REF!,IF(Schedule!E11=13,Schedule!$AQ$14,IF(Schedule!E11=14,Schedule!#REF!,IF(Schedule!E11=15,Schedule!$AQ$15,IF(Schedule!E11=16,Schedule!#REF!,IF(Schedule!E11=17,Schedule!#REF!,IF(Schedule!E11=18,Schedule!$AQ$16,IF(Schedule!E11=19,Schedule!$AQ$17,IF(Schedule!E11=20,Schedule!$AQ$18,IF(Schedule!E11=21,Schedule!#REF!))))))))))))))))))))))</f>
        <v>OFF</v>
      </c>
      <c r="H10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0" s="72" t="str">
        <f>IF(Schedule!F12=0,Schedule!$AQ$3,IF(Schedule!F12=1,Schedule!$AQ$4,IF(Schedule!F12=2,Schedule!$AQ$5,IF(Schedule!F12=3,Schedule!$AQ$6,IF(Schedule!F12=4,Schedule!$AQ$7,IF(Schedule!F12=5,Schedule!$AQ$8,IF(Schedule!F12=6,Schedule!$AQ$9,IF(Schedule!F12=7,Schedule!$AQ$10,IF(Schedule!F12=8,Schedule!#REF!,IF(Schedule!F12=9,Schedule!$AQ$12,IF(Schedule!F12=10,Schedule!$AQ$13,IF(Schedule!F12=11,Schedule!#REF!,IF(Schedule!F12=12,Schedule!#REF!,IF(Schedule!F12=13,Schedule!$AQ$14,IF(Schedule!F12=14,Schedule!#REF!,IF(Schedule!F12=15,Schedule!$AQ$15,IF(Schedule!F12=16,Schedule!#REF!,IF(Schedule!F12=17,Schedule!#REF!,IF(Schedule!F12=18,Schedule!$AQ$16,IF(Schedule!F12=19,Schedule!$AQ$17,IF(Schedule!F12=20,Schedule!$AQ$18,IF(Schedule!F12=21,Schedule!#REF!))))))))))))))))))))))</f>
        <v xml:space="preserve">VC(1)/ Booth </v>
      </c>
      <c r="J10" s="72" t="str">
        <f>IF(Schedule!J14=0,Schedule!$AQ$3,IF(Schedule!J14=1,Schedule!$AQ$4,IF(Schedule!J14=2,Schedule!$AQ$5,IF(Schedule!J14=3,Schedule!$AQ$6,IF(Schedule!J14=4,Schedule!$AQ$7,IF(Schedule!J14=5,Schedule!$AQ$8,IF(Schedule!J14=6,Schedule!$AQ$9,IF(Schedule!J14=7,Schedule!$AQ$10,IF(Schedule!J14=8,Schedule!#REF!,IF(Schedule!J14=9,Schedule!$AQ$12,IF(Schedule!J14=10,Schedule!$AQ$13,IF(Schedule!J14=11,Schedule!#REF!,IF(Schedule!J14=12,Schedule!#REF!,IF(Schedule!J14=13,Schedule!$AQ$14,IF(Schedule!J14=14,Schedule!#REF!,IF(Schedule!J14=15,Schedule!$AQ$15,IF(Schedule!J14=16,Schedule!#REF!,IF(Schedule!J14=17,Schedule!#REF!,IF(Schedule!J14=18,Schedule!$AQ$16,IF(Schedule!J14=19,Schedule!$AQ$17,IF(Schedule!J14=20,Schedule!$AQ$18,IF(Schedule!J14=21,Schedule!#REF!))))))))))))))))))))))</f>
        <v>Stop 14(2)</v>
      </c>
      <c r="K10" s="72" t="str">
        <f>IF(Schedule!K11=0,Schedule!$AQ$3,IF(Schedule!K11=1,Schedule!$AQ$4,IF(Schedule!K11=2,Schedule!$AQ$5,IF(Schedule!K11=3,Schedule!$AQ$6,IF(Schedule!K11=4,Schedule!$AQ$7,IF(Schedule!K11=5,Schedule!$AQ$8,IF(Schedule!K11=6,Schedule!$AQ$9,IF(Schedule!K11=7,Schedule!$AQ$10,IF(Schedule!K11=8,Schedule!#REF!,IF(Schedule!K11=9,Schedule!$AQ$12,IF(Schedule!K11=10,Schedule!$AQ$13,IF(Schedule!K11=11,Schedule!#REF!,IF(Schedule!K11=12,Schedule!#REF!,IF(Schedule!K11=13,Schedule!$AQ$14,IF(Schedule!K11=14,Schedule!#REF!,IF(Schedule!K11=15,Schedule!$AQ$15,IF(Schedule!K11=16,Schedule!#REF!,IF(Schedule!K11=17,Schedule!#REF!,IF(Schedule!K11=18,Schedule!$AQ$16,IF(Schedule!K11=19,Schedule!$AQ$17,IF(Schedule!K11=20,Schedule!$AQ$18,IF(Schedule!K11=21,Schedule!#REF!))))))))))))))))))))))</f>
        <v xml:space="preserve">Booth(2)/ VC </v>
      </c>
      <c r="L10" s="72" t="str">
        <f>IF(Schedule!M11=0,Schedule!$AQ$3,IF(Schedule!M11=1,Schedule!$AQ$4,IF(Schedule!M11=2,Schedule!$AQ$5,IF(Schedule!M11=3,Schedule!$AQ$6,IF(Schedule!M11=4,Schedule!$AQ$7,IF(Schedule!M11=5,Schedule!$AQ$8,IF(Schedule!M11=6,Schedule!$AQ$9,IF(Schedule!M11=7,Schedule!$AQ$10,IF(Schedule!M11=8,Schedule!#REF!,IF(Schedule!M11=9,Schedule!$AQ$12,IF(Schedule!M11=10,Schedule!$AQ$13,IF(Schedule!M11=11,Schedule!#REF!,IF(Schedule!M11=12,Schedule!#REF!,IF(Schedule!M11=13,Schedule!$AQ$14,IF(Schedule!M11=14,Schedule!#REF!,IF(Schedule!M11=15,Schedule!$AQ$15,IF(Schedule!M11=16,Schedule!#REF!,IF(Schedule!M11=17,Schedule!#REF!,IF(Schedule!M11=18,Schedule!$AQ$16,IF(Schedule!M11=19,Schedule!$AQ$17,IF(Schedule!M11=20,Schedule!$AQ$18,IF(Schedule!M11=21,Schedule!#REF!))))))))))))))))))))))</f>
        <v>Stop 14(2)</v>
      </c>
      <c r="M10" s="72" t="str">
        <f>IF(Schedule!N11=0,Schedule!$AQ$3,IF(Schedule!N11=1,Schedule!$AQ$4,IF(Schedule!N11=2,Schedule!$AQ$5,IF(Schedule!N11=3,Schedule!$AQ$6,IF(Schedule!N11=4,Schedule!$AQ$7,IF(Schedule!N11=5,Schedule!$AQ$8,IF(Schedule!N11=6,Schedule!$AQ$9,IF(Schedule!N11=7,Schedule!$AQ$10,IF(Schedule!N11=8,Schedule!#REF!,IF(Schedule!N11=9,Schedule!$AQ$12,IF(Schedule!N11=10,Schedule!$AQ$13,IF(Schedule!N11=11,Schedule!#REF!,IF(Schedule!N11=12,Schedule!#REF!,IF(Schedule!N11=13,Schedule!$AQ$14,IF(Schedule!N11=14,Schedule!#REF!,IF(Schedule!N11=15,Schedule!$AQ$15,IF(Schedule!N11=16,Schedule!#REF!,IF(Schedule!N11=17,Schedule!#REF!,IF(Schedule!N11=18,Schedule!$AQ$16,IF(Schedule!N11=19,Schedule!$AQ$17,IF(Schedule!N11=20,Schedule!$AQ$18,IF(Schedule!N11=21,Schedule!#REF!))))))))))))))))))))))</f>
        <v>OFF</v>
      </c>
      <c r="N10" s="72" t="str">
        <f>IF(Schedule!O11=0,Schedule!$AQ$3,IF(Schedule!O11=1,Schedule!$AQ$4,IF(Schedule!O11=2,Schedule!$AQ$5,IF(Schedule!O11=3,Schedule!$AQ$6,IF(Schedule!O11=4,Schedule!$AQ$7,IF(Schedule!O11=5,Schedule!$AQ$8,IF(Schedule!O11=6,Schedule!$AQ$9,IF(Schedule!O11=7,Schedule!$AQ$10,IF(Schedule!O11=8,Schedule!#REF!,IF(Schedule!O11=9,Schedule!$AQ$12,IF(Schedule!O11=10,Schedule!$AQ$13,IF(Schedule!O11=11,Schedule!#REF!,IF(Schedule!O11=12,Schedule!#REF!,IF(Schedule!O11=13,Schedule!$AQ$14,IF(Schedule!O11=14,Schedule!#REF!,IF(Schedule!O11=15,Schedule!$AQ$15,IF(Schedule!O11=16,Schedule!#REF!,IF(Schedule!O11=17,Schedule!#REF!,IF(Schedule!O11=18,Schedule!$AQ$16,IF(Schedule!O11=19,Schedule!$AQ$17,IF(Schedule!O11=20,Schedule!$AQ$18,IF(Schedule!O11=21,Schedule!#REF!))))))))))))))))))))))</f>
        <v>OFF</v>
      </c>
      <c r="O10" s="72" t="e">
        <f>IF(Schedule!P11=0,Schedule!$AQ$3,IF(Schedule!P11=1,Schedule!$AQ$4,IF(Schedule!P11=2,Schedule!$AQ$5,IF(Schedule!P11=3,Schedule!$AQ$6,IF(Schedule!P11=4,Schedule!$AQ$7,IF(Schedule!P11=5,Schedule!$AQ$8,IF(Schedule!P11=6,Schedule!$AQ$9,IF(Schedule!P11=7,Schedule!$AQ$10,IF(Schedule!P11=8,Schedule!#REF!,IF(Schedule!P11=9,Schedule!$AQ$12,IF(Schedule!P11=10,Schedule!$AQ$13,IF(Schedule!P11=11,Schedule!#REF!,IF(Schedule!P11=12,Schedule!#REF!,IF(Schedule!P11=13,Schedule!$AQ$14,IF(Schedule!P11=14,Schedule!#REF!,IF(Schedule!P11=15,Schedule!$AQ$15,IF(Schedule!P11=16,Schedule!#REF!,IF(Schedule!P11=17,Schedule!#REF!,IF(Schedule!P11=18,Schedule!$AQ$16,IF(Schedule!P11=19,Schedule!$AQ$17,IF(Schedule!P11=20,Schedule!$AQ$18,IF(Schedule!P11=21,Schedule!#REF!))))))))))))))))))))))</f>
        <v>#REF!</v>
      </c>
      <c r="P10" s="72" t="str">
        <f>IF(Schedule!Q11=0,Schedule!$AQ$3,IF(Schedule!Q11=1,Schedule!$AQ$4,IF(Schedule!Q11=2,Schedule!$AQ$5,IF(Schedule!Q11=3,Schedule!$AQ$6,IF(Schedule!Q11=4,Schedule!$AQ$7,IF(Schedule!Q11=5,Schedule!$AQ$8,IF(Schedule!Q11=6,Schedule!$AQ$9,IF(Schedule!Q11=7,Schedule!$AQ$10,IF(Schedule!Q11=8,Schedule!#REF!,IF(Schedule!Q11=9,Schedule!$AQ$12,IF(Schedule!Q11=10,Schedule!$AQ$13,IF(Schedule!Q11=11,Schedule!#REF!,IF(Schedule!Q11=12,Schedule!#REF!,IF(Schedule!Q11=13,Schedule!$AQ$14,IF(Schedule!Q11=14,Schedule!#REF!,IF(Schedule!Q11=15,Schedule!$AQ$15,IF(Schedule!Q11=16,Schedule!#REF!,IF(Schedule!Q11=17,Schedule!#REF!,IF(Schedule!Q11=18,Schedule!$AQ$16,IF(Schedule!Q11=19,Schedule!$AQ$17,IF(Schedule!Q11=20,Schedule!$AQ$18,IF(Schedule!Q11=21,Schedule!#REF!))))))))))))))))))))))</f>
        <v xml:space="preserve">Booth(1)/ VC </v>
      </c>
      <c r="Q10" s="72" t="str">
        <f>IF(Schedule!R11=0,Schedule!$AQ$3,IF(Schedule!R11=1,Schedule!$AQ$4,IF(Schedule!R11=2,Schedule!$AQ$5,IF(Schedule!R11=3,Schedule!$AQ$6,IF(Schedule!R11=4,Schedule!$AQ$7,IF(Schedule!R11=5,Schedule!$AQ$8,IF(Schedule!R11=6,Schedule!$AQ$9,IF(Schedule!R11=7,Schedule!$AQ$10,IF(Schedule!R11=8,Schedule!#REF!,IF(Schedule!R11=9,Schedule!$AQ$12,IF(Schedule!R11=10,Schedule!$AQ$13,IF(Schedule!R11=11,Schedule!#REF!,IF(Schedule!R11=12,Schedule!#REF!,IF(Schedule!R11=13,Schedule!$AQ$14,IF(Schedule!R11=14,Schedule!#REF!,IF(Schedule!R11=15,Schedule!$AQ$15,IF(Schedule!R11=16,Schedule!#REF!,IF(Schedule!R11=17,Schedule!#REF!,IF(Schedule!R11=18,Schedule!$AQ$16,IF(Schedule!R11=19,Schedule!$AQ$17,IF(Schedule!R11=20,Schedule!$AQ$18,IF(Schedule!R11=21,Schedule!#REF!))))))))))))))))))))))</f>
        <v>OFF</v>
      </c>
      <c r="R10" s="72" t="str">
        <f>IF(Schedule!S11=0,Schedule!$AQ$3,IF(Schedule!S11=1,Schedule!$AQ$4,IF(Schedule!S11=2,Schedule!$AQ$5,IF(Schedule!S11=3,Schedule!$AQ$6,IF(Schedule!S11=4,Schedule!$AQ$7,IF(Schedule!S11=5,Schedule!$AQ$8,IF(Schedule!S11=6,Schedule!$AQ$9,IF(Schedule!S11=7,Schedule!$AQ$10,IF(Schedule!S11=8,Schedule!#REF!,IF(Schedule!S11=9,Schedule!$AQ$12,IF(Schedule!S11=10,Schedule!$AQ$13,IF(Schedule!S11=11,Schedule!#REF!,IF(Schedule!S11=12,Schedule!#REF!,IF(Schedule!S11=13,Schedule!$AQ$14,IF(Schedule!S11=14,Schedule!#REF!,IF(Schedule!S11=15,Schedule!$AQ$15,IF(Schedule!S11=16,Schedule!#REF!,IF(Schedule!S11=17,Schedule!#REF!,IF(Schedule!S11=18,Schedule!$AQ$16,IF(Schedule!S11=19,Schedule!$AQ$17,IF(Schedule!S11=20,Schedule!$AQ$18,IF(Schedule!S11=21,Schedule!#REF!))))))))))))))))))))))</f>
        <v>OFF</v>
      </c>
      <c r="S10" s="72" t="str">
        <f>IF(Schedule!T11=0,Schedule!$AQ$3,IF(Schedule!T11=1,Schedule!$AQ$4,IF(Schedule!T11=2,Schedule!$AQ$5,IF(Schedule!T11=3,Schedule!$AQ$6,IF(Schedule!T11=4,Schedule!$AQ$7,IF(Schedule!T11=5,Schedule!$AQ$8,IF(Schedule!T11=6,Schedule!$AQ$9,IF(Schedule!T11=7,Schedule!$AQ$10,IF(Schedule!T11=8,Schedule!#REF!,IF(Schedule!T11=9,Schedule!$AQ$12,IF(Schedule!T11=10,Schedule!$AQ$13,IF(Schedule!T11=11,Schedule!#REF!,IF(Schedule!T11=12,Schedule!#REF!,IF(Schedule!T11=13,Schedule!$AQ$14,IF(Schedule!T11=14,Schedule!#REF!,IF(Schedule!T11=15,Schedule!$AQ$15,IF(Schedule!T11=16,Schedule!#REF!,IF(Schedule!T11=17,Schedule!#REF!,IF(Schedule!T11=18,Schedule!$AQ$16,IF(Schedule!T11=19,Schedule!$AQ$17,IF(Schedule!T11=20,Schedule!$AQ$18,IF(Schedule!T11=21,Schedule!#REF!))))))))))))))))))))))</f>
        <v xml:space="preserve">VC(1)/ Booth </v>
      </c>
      <c r="T10" s="72" t="str">
        <f>IF(Schedule!U11=0,Schedule!$AQ$3,IF(Schedule!U11=1,Schedule!$AQ$4,IF(Schedule!U11=2,Schedule!$AQ$5,IF(Schedule!U11=3,Schedule!$AQ$6,IF(Schedule!U11=4,Schedule!$AQ$7,IF(Schedule!U11=5,Schedule!$AQ$8,IF(Schedule!U11=6,Schedule!$AQ$9,IF(Schedule!U11=7,Schedule!$AQ$10,IF(Schedule!U11=8,Schedule!#REF!,IF(Schedule!U11=9,Schedule!$AQ$12,IF(Schedule!U11=10,Schedule!$AQ$13,IF(Schedule!U11=11,Schedule!#REF!,IF(Schedule!U11=12,Schedule!#REF!,IF(Schedule!U11=13,Schedule!$AQ$14,IF(Schedule!U11=14,Schedule!#REF!,IF(Schedule!U11=15,Schedule!$AQ$15,IF(Schedule!U11=16,Schedule!#REF!,IF(Schedule!U11=17,Schedule!#REF!,IF(Schedule!U11=18,Schedule!$AQ$16,IF(Schedule!U11=19,Schedule!$AQ$17,IF(Schedule!U11=20,Schedule!$AQ$18,IF(Schedule!U11=21,Schedule!#REF!))))))))))))))))))))))</f>
        <v>Art(1)/ Stop 7</v>
      </c>
      <c r="U10" s="72" t="str">
        <f>IF(Schedule!V11=0,Schedule!$AQ$3,IF(Schedule!V11=1,Schedule!$AQ$4,IF(Schedule!V11=2,Schedule!$AQ$5,IF(Schedule!V11=3,Schedule!$AQ$6,IF(Schedule!V11=4,Schedule!$AQ$7,IF(Schedule!V11=5,Schedule!$AQ$8,IF(Schedule!V11=6,Schedule!$AQ$9,IF(Schedule!V11=7,Schedule!$AQ$10,IF(Schedule!V11=8,Schedule!#REF!,IF(Schedule!V11=9,Schedule!$AQ$12,IF(Schedule!V11=10,Schedule!$AQ$13,IF(Schedule!V11=11,Schedule!#REF!,IF(Schedule!V11=12,Schedule!#REF!,IF(Schedule!V11=13,Schedule!$AQ$14,IF(Schedule!V11=14,Schedule!#REF!,IF(Schedule!V11=15,Schedule!$AQ$15,IF(Schedule!V11=16,Schedule!#REF!,IF(Schedule!V11=17,Schedule!#REF!,IF(Schedule!V11=18,Schedule!$AQ$16,IF(Schedule!V11=19,Schedule!$AQ$17,IF(Schedule!V11=20,Schedule!$AQ$18,IF(Schedule!V11=21,Schedule!#REF!))))))))))))))))))))))</f>
        <v>OFF</v>
      </c>
      <c r="V10" s="72" t="str">
        <f>IF(Schedule!W11=0,Schedule!$AQ$3,IF(Schedule!W11=1,Schedule!$AQ$4,IF(Schedule!W11=2,Schedule!$AQ$5,IF(Schedule!W11=3,Schedule!$AQ$6,IF(Schedule!W11=4,Schedule!$AQ$7,IF(Schedule!W11=5,Schedule!$AQ$8,IF(Schedule!W11=6,Schedule!$AQ$9,IF(Schedule!W11=7,Schedule!$AQ$10,IF(Schedule!W11=8,Schedule!#REF!,IF(Schedule!W11=9,Schedule!$AQ$12,IF(Schedule!W11=10,Schedule!$AQ$13,IF(Schedule!W11=11,Schedule!#REF!,IF(Schedule!W11=12,Schedule!#REF!,IF(Schedule!W11=13,Schedule!$AQ$14,IF(Schedule!W11=14,Schedule!#REF!,IF(Schedule!W11=15,Schedule!$AQ$15,IF(Schedule!W11=16,Schedule!#REF!,IF(Schedule!W11=17,Schedule!#REF!,IF(Schedule!W11=18,Schedule!$AQ$16,IF(Schedule!W11=19,Schedule!$AQ$17,IF(Schedule!W11=20,Schedule!$AQ$18,IF(Schedule!W11=21,Schedule!#REF!))))))))))))))))))))))</f>
        <v>OFF</v>
      </c>
      <c r="W10" s="72" t="str">
        <f>IF(Schedule!X11=0,Schedule!$AQ$3,IF(Schedule!X11=1,Schedule!$AQ$4,IF(Schedule!X11=2,Schedule!$AQ$5,IF(Schedule!X11=3,Schedule!$AQ$6,IF(Schedule!X11=4,Schedule!$AQ$7,IF(Schedule!X11=5,Schedule!$AQ$8,IF(Schedule!X11=6,Schedule!$AQ$9,IF(Schedule!X11=7,Schedule!$AQ$10,IF(Schedule!X11=8,Schedule!#REF!,IF(Schedule!X11=9,Schedule!$AQ$12,IF(Schedule!X11=10,Schedule!$AQ$13,IF(Schedule!X11=11,Schedule!#REF!,IF(Schedule!X11=12,Schedule!#REF!,IF(Schedule!X11=13,Schedule!$AQ$14,IF(Schedule!X11=14,Schedule!#REF!,IF(Schedule!X11=15,Schedule!$AQ$15,IF(Schedule!X11=16,Schedule!#REF!,IF(Schedule!X11=17,Schedule!#REF!,IF(Schedule!X11=18,Schedule!$AQ$16,IF(Schedule!X11=19,Schedule!$AQ$17,IF(Schedule!X11=20,Schedule!$AQ$18,IF(Schedule!X11=21,Schedule!#REF!))))))))))))))))))))))</f>
        <v>Stop 7(2)/ 5&amp;9</v>
      </c>
      <c r="X10" s="72" t="str">
        <f>IF(Schedule!Y11=0,Schedule!$AQ$3,IF(Schedule!Y11=1,Schedule!$AQ$4,IF(Schedule!Y11=2,Schedule!$AQ$5,IF(Schedule!Y11=3,Schedule!$AQ$6,IF(Schedule!Y11=4,Schedule!$AQ$7,IF(Schedule!Y11=5,Schedule!$AQ$8,IF(Schedule!Y11=6,Schedule!$AQ$9,IF(Schedule!Y11=7,Schedule!$AQ$10,IF(Schedule!Y11=8,Schedule!#REF!,IF(Schedule!Y11=9,Schedule!$AQ$12,IF(Schedule!Y11=10,Schedule!$AQ$13,IF(Schedule!Y11=11,Schedule!#REF!,IF(Schedule!Y11=12,Schedule!#REF!,IF(Schedule!Y11=13,Schedule!$AQ$14,IF(Schedule!Y11=14,Schedule!#REF!,IF(Schedule!Y11=15,Schedule!$AQ$15,IF(Schedule!Y11=16,Schedule!#REF!,IF(Schedule!Y11=17,Schedule!#REF!,IF(Schedule!Y11=18,Schedule!$AQ$16,IF(Schedule!Y11=19,Schedule!$AQ$17,IF(Schedule!Y11=20,Schedule!$AQ$18,IF(Schedule!Y11=21,Schedule!#REF!))))))))))))))))))))))</f>
        <v xml:space="preserve">VC(2)/ Booth  </v>
      </c>
      <c r="Y10" s="72" t="str">
        <f>IF(Schedule!Z11=0,Schedule!$AQ$3,IF(Schedule!Z11=1,Schedule!$AQ$4,IF(Schedule!Z11=2,Schedule!$AQ$5,IF(Schedule!Z11=3,Schedule!$AQ$6,IF(Schedule!Z11=4,Schedule!$AQ$7,IF(Schedule!Z11=5,Schedule!$AQ$8,IF(Schedule!Z11=6,Schedule!$AQ$9,IF(Schedule!Z11=7,Schedule!$AQ$10,IF(Schedule!Z11=8,Schedule!#REF!,IF(Schedule!Z11=9,Schedule!$AQ$12,IF(Schedule!Z11=10,Schedule!$AQ$13,IF(Schedule!Z11=11,Schedule!#REF!,IF(Schedule!Z11=12,Schedule!#REF!,IF(Schedule!Z11=13,Schedule!$AQ$14,IF(Schedule!Z11=14,Schedule!#REF!,IF(Schedule!Z11=15,Schedule!$AQ$15,IF(Schedule!Z11=16,Schedule!#REF!,IF(Schedule!Z11=17,Schedule!#REF!,IF(Schedule!Z11=18,Schedule!$AQ$16,IF(Schedule!Z11=19,Schedule!$AQ$17,IF(Schedule!Z11=20,Schedule!$AQ$18,IF(Schedule!Z11=21,Schedule!#REF!))))))))))))))))))))))</f>
        <v>OFF</v>
      </c>
      <c r="Z10" s="72" t="str">
        <f>IF(Schedule!AA11=0,Schedule!$AQ$3,IF(Schedule!AA11=1,Schedule!$AQ$4,IF(Schedule!AA11=2,Schedule!$AQ$5,IF(Schedule!AA11=3,Schedule!$AQ$6,IF(Schedule!AA11=4,Schedule!$AQ$7,IF(Schedule!AA11=5,Schedule!$AQ$8,IF(Schedule!AA11=6,Schedule!$AQ$9,IF(Schedule!AA11=7,Schedule!$AQ$10,IF(Schedule!AA11=8,Schedule!#REF!,IF(Schedule!AA11=9,Schedule!$AQ$12,IF(Schedule!AA11=10,Schedule!$AQ$13,IF(Schedule!AA11=11,Schedule!#REF!,IF(Schedule!AA11=12,Schedule!#REF!,IF(Schedule!AA11=13,Schedule!$AQ$14,IF(Schedule!AA11=14,Schedule!#REF!,IF(Schedule!AA11=15,Schedule!$AQ$15,IF(Schedule!AA11=16,Schedule!#REF!,IF(Schedule!AA11=17,Schedule!#REF!,IF(Schedule!AA11=18,Schedule!$AQ$16,IF(Schedule!AA11=19,Schedule!$AQ$17,IF(Schedule!AA11=20,Schedule!$AQ$18,IF(Schedule!AA11=21,Schedule!#REF!))))))))))))))))))))))</f>
        <v>OFF</v>
      </c>
      <c r="AA10" s="72" t="str">
        <f>IF(Schedule!AB11=0,Schedule!$AQ$3,IF(Schedule!AB11=1,Schedule!$AQ$4,IF(Schedule!AB11=2,Schedule!$AQ$5,IF(Schedule!AB11=3,Schedule!$AQ$6,IF(Schedule!AB11=4,Schedule!$AQ$7,IF(Schedule!AB11=5,Schedule!$AQ$8,IF(Schedule!AB11=6,Schedule!$AQ$9,IF(Schedule!AB11=7,Schedule!$AQ$10,IF(Schedule!AB11=8,Schedule!#REF!,IF(Schedule!AB11=9,Schedule!$AQ$12,IF(Schedule!AB11=10,Schedule!$AQ$13,IF(Schedule!AB11=11,Schedule!#REF!,IF(Schedule!AB11=12,Schedule!#REF!,IF(Schedule!AB11=13,Schedule!$AQ$14,IF(Schedule!AB11=14,Schedule!#REF!,IF(Schedule!AB11=15,Schedule!$AQ$15,IF(Schedule!AB11=16,Schedule!#REF!,IF(Schedule!AB11=17,Schedule!#REF!,IF(Schedule!AB11=18,Schedule!$AQ$16,IF(Schedule!AB11=19,Schedule!$AQ$17,IF(Schedule!AB11=20,Schedule!$AQ$18,IF(Schedule!AB11=21,Schedule!#REF!))))))))))))))))))))))</f>
        <v>Stop 14(2)</v>
      </c>
      <c r="AB10" s="72" t="str">
        <f>IF(Schedule!AC11=0,Schedule!$AQ$3,IF(Schedule!AC11=1,Schedule!$AQ$4,IF(Schedule!AC11=2,Schedule!$AQ$5,IF(Schedule!AC11=3,Schedule!$AQ$6,IF(Schedule!AC11=4,Schedule!$AQ$7,IF(Schedule!AC11=5,Schedule!$AQ$8,IF(Schedule!AC11=6,Schedule!$AQ$9,IF(Schedule!AC11=7,Schedule!$AQ$10,IF(Schedule!AC11=8,Schedule!#REF!,IF(Schedule!AC11=9,Schedule!$AQ$12,IF(Schedule!AC11=10,Schedule!$AQ$13,IF(Schedule!AC11=11,Schedule!#REF!,IF(Schedule!AC11=12,Schedule!#REF!,IF(Schedule!AC11=13,Schedule!$AQ$14,IF(Schedule!AC11=14,Schedule!#REF!,IF(Schedule!AC11=15,Schedule!$AQ$15,IF(Schedule!AC11=16,Schedule!#REF!,IF(Schedule!AC11=17,Schedule!#REF!,IF(Schedule!AC11=18,Schedule!$AQ$16,IF(Schedule!AC11=19,Schedule!$AQ$17,IF(Schedule!AC11=20,Schedule!$AQ$18,IF(Schedule!AC11=21,Schedule!#REF!))))))))))))))))))))))</f>
        <v xml:space="preserve">VC(1)/ Booth </v>
      </c>
      <c r="AC10" s="72" t="str">
        <f>IF(Schedule!AD11=0,Schedule!$AQ$3,IF(Schedule!AD11=1,Schedule!$AQ$4,IF(Schedule!AD11=2,Schedule!$AQ$5,IF(Schedule!AD11=3,Schedule!$AQ$6,IF(Schedule!AD11=4,Schedule!$AQ$7,IF(Schedule!AD11=5,Schedule!$AQ$8,IF(Schedule!AD11=6,Schedule!$AQ$9,IF(Schedule!AD11=7,Schedule!$AQ$10,IF(Schedule!AD11=8,Schedule!#REF!,IF(Schedule!AD11=9,Schedule!$AQ$12,IF(Schedule!AD11=10,Schedule!$AQ$13,IF(Schedule!AD11=11,Schedule!#REF!,IF(Schedule!AD11=12,Schedule!#REF!,IF(Schedule!AD11=13,Schedule!$AQ$14,IF(Schedule!AD11=14,Schedule!#REF!,IF(Schedule!AD11=15,Schedule!$AQ$15,IF(Schedule!AD11=16,Schedule!#REF!,IF(Schedule!AD11=17,Schedule!#REF!,IF(Schedule!AD11=18,Schedule!$AQ$16,IF(Schedule!AD11=19,Schedule!$AQ$17,IF(Schedule!AD11=20,Schedule!$AQ$18,IF(Schedule!AD11=21,Schedule!#REF!))))))))))))))))))))))</f>
        <v>OFF</v>
      </c>
      <c r="AD10" s="72" t="str">
        <f>IF(Schedule!AE11=0,Schedule!$AQ$3,IF(Schedule!AE11=1,Schedule!$AQ$4,IF(Schedule!AE11=2,Schedule!$AQ$5,IF(Schedule!AE11=3,Schedule!$AQ$6,IF(Schedule!AE11=4,Schedule!$AQ$7,IF(Schedule!AE11=5,Schedule!$AQ$8,IF(Schedule!AE11=6,Schedule!$AQ$9,IF(Schedule!AE11=7,Schedule!$AQ$10,IF(Schedule!AE11=8,Schedule!#REF!,IF(Schedule!AE11=9,Schedule!$AQ$12,IF(Schedule!AE11=10,Schedule!$AQ$13,IF(Schedule!AE11=11,Schedule!#REF!,IF(Schedule!AE11=12,Schedule!#REF!,IF(Schedule!AE11=13,Schedule!$AQ$14,IF(Schedule!AE11=14,Schedule!#REF!,IF(Schedule!AE11=15,Schedule!$AQ$15,IF(Schedule!AE11=16,Schedule!#REF!,IF(Schedule!AE11=17,Schedule!#REF!,IF(Schedule!AE11=18,Schedule!$AQ$16,IF(Schedule!AE11=19,Schedule!$AQ$17,IF(Schedule!AE11=20,Schedule!$AQ$18,IF(Schedule!AE11=21,Schedule!#REF!))))))))))))))))))))))</f>
        <v>OFF</v>
      </c>
      <c r="AE10" s="72" t="str">
        <f>IF(Schedule!AF11=0,Schedule!$AQ$3,IF(Schedule!AF11=1,Schedule!$AQ$4,IF(Schedule!AF11=2,Schedule!$AQ$5,IF(Schedule!AF11=3,Schedule!$AQ$6,IF(Schedule!AF11=4,Schedule!$AQ$7,IF(Schedule!AF11=5,Schedule!$AQ$8,IF(Schedule!AF11=6,Schedule!$AQ$9,IF(Schedule!AF11=7,Schedule!$AQ$10,IF(Schedule!AF11=8,Schedule!#REF!,IF(Schedule!AF11=9,Schedule!$AQ$12,IF(Schedule!AF11=10,Schedule!$AQ$13,IF(Schedule!AF11=11,Schedule!#REF!,IF(Schedule!AF11=12,Schedule!#REF!,IF(Schedule!AF11=13,Schedule!$AQ$14,IF(Schedule!AF11=14,Schedule!#REF!,IF(Schedule!AF11=15,Schedule!$AQ$15,IF(Schedule!AF11=16,Schedule!#REF!,IF(Schedule!AF11=17,Schedule!#REF!,IF(Schedule!AF11=18,Schedule!$AQ$16,IF(Schedule!AF11=19,Schedule!$AQ$17,IF(Schedule!AF11=20,Schedule!$AQ$18,IF(Schedule!AF11=21,Schedule!#REF!))))))))))))))))))))))</f>
        <v xml:space="preserve">Booth(2)/ VC </v>
      </c>
      <c r="AF10" s="72" t="str">
        <f>IF(Schedule!AG11=0,Schedule!$AQ$3,IF(Schedule!AG11=1,Schedule!$AQ$4,IF(Schedule!AG11=2,Schedule!$AQ$5,IF(Schedule!AG11=3,Schedule!$AQ$6,IF(Schedule!AG11=4,Schedule!$AQ$7,IF(Schedule!AG11=5,Schedule!$AQ$8,IF(Schedule!AG11=6,Schedule!$AQ$9,IF(Schedule!AG11=7,Schedule!$AQ$10,IF(Schedule!AG11=8,Schedule!#REF!,IF(Schedule!AG11=9,Schedule!$AQ$12,IF(Schedule!AG11=10,Schedule!$AQ$13,IF(Schedule!AG11=11,Schedule!#REF!,IF(Schedule!AG11=12,Schedule!#REF!,IF(Schedule!AG11=13,Schedule!$AQ$14,IF(Schedule!AG11=14,Schedule!#REF!,IF(Schedule!AG11=15,Schedule!$AQ$15,IF(Schedule!AG11=16,Schedule!#REF!,IF(Schedule!AG11=17,Schedule!#REF!,IF(Schedule!AG11=18,Schedule!$AQ$16,IF(Schedule!AG11=19,Schedule!$AQ$17,IF(Schedule!AG11=20,Schedule!$AQ$18,IF(Schedule!AG11=21,Schedule!#REF!))))))))))))))))))))))</f>
        <v>Stop 7(2)/ 5&amp;9</v>
      </c>
      <c r="AG10" s="72" t="str">
        <f>IF(Schedule!AH11=0,Schedule!$AQ$3,IF(Schedule!AH11=1,Schedule!$AQ$4,IF(Schedule!AH11=2,Schedule!$AQ$5,IF(Schedule!AH11=3,Schedule!$AQ$6,IF(Schedule!AH11=4,Schedule!$AQ$7,IF(Schedule!AH11=5,Schedule!$AQ$8,IF(Schedule!AH11=6,Schedule!$AQ$9,IF(Schedule!AH11=7,Schedule!$AQ$10,IF(Schedule!AH11=8,Schedule!#REF!,IF(Schedule!AH11=9,Schedule!$AQ$12,IF(Schedule!AH11=10,Schedule!$AQ$13,IF(Schedule!AH11=11,Schedule!#REF!,IF(Schedule!AH11=12,Schedule!#REF!,IF(Schedule!AH11=13,Schedule!$AQ$14,IF(Schedule!AH11=14,Schedule!#REF!,IF(Schedule!AH11=15,Schedule!$AQ$15,IF(Schedule!AH11=16,Schedule!#REF!,IF(Schedule!AH11=17,Schedule!#REF!,IF(Schedule!AH11=18,Schedule!$AQ$16,IF(Schedule!AH11=19,Schedule!$AQ$17,IF(Schedule!AH11=20,Schedule!$AQ$18,IF(Schedule!AH11=21,Schedule!#REF!))))))))))))))))))))))</f>
        <v>OFF</v>
      </c>
      <c r="AH10" s="72" t="str">
        <f>IF(Schedule!AI11=0,Schedule!$AQ$3,IF(Schedule!AI11=1,Schedule!$AQ$4,IF(Schedule!AI11=2,Schedule!$AQ$5,IF(Schedule!AI11=3,Schedule!$AQ$6,IF(Schedule!AI11=4,Schedule!$AQ$7,IF(Schedule!AI11=5,Schedule!$AQ$8,IF(Schedule!AI11=6,Schedule!$AQ$9,IF(Schedule!AI11=7,Schedule!$AQ$10,IF(Schedule!AI11=8,Schedule!#REF!,IF(Schedule!AI11=9,Schedule!$AQ$12,IF(Schedule!AI11=10,Schedule!$AQ$13,IF(Schedule!AI11=11,Schedule!#REF!,IF(Schedule!AI11=12,Schedule!#REF!,IF(Schedule!AI11=13,Schedule!$AQ$14,IF(Schedule!AI11=14,Schedule!#REF!,IF(Schedule!AI11=15,Schedule!$AQ$15,IF(Schedule!AI11=16,Schedule!#REF!,IF(Schedule!AI11=17,Schedule!#REF!,IF(Schedule!AI11=18,Schedule!$AQ$16,IF(Schedule!AI11=19,Schedule!$AQ$17,IF(Schedule!AI11=20,Schedule!$AQ$18,IF(Schedule!AI11=21,Schedule!#REF!))))))))))))))))))))))</f>
        <v>OFF</v>
      </c>
      <c r="AI10" s="72" t="str">
        <f>IF(Schedule!AJ11=0,Schedule!$AQ$3,IF(Schedule!AJ11=1,Schedule!$AQ$4,IF(Schedule!AJ11=2,Schedule!$AQ$5,IF(Schedule!AJ11=3,Schedule!$AQ$6,IF(Schedule!AJ11=4,Schedule!$AQ$7,IF(Schedule!AJ11=5,Schedule!$AQ$8,IF(Schedule!AJ11=6,Schedule!$AQ$9,IF(Schedule!AJ11=7,Schedule!$AQ$10,IF(Schedule!AJ11=8,Schedule!#REF!,IF(Schedule!AJ11=9,Schedule!$AQ$12,IF(Schedule!AJ11=10,Schedule!$AQ$13,IF(Schedule!AJ11=11,Schedule!#REF!,IF(Schedule!AJ11=12,Schedule!#REF!,IF(Schedule!AJ11=13,Schedule!$AQ$14,IF(Schedule!AJ11=14,Schedule!#REF!,IF(Schedule!AJ11=15,Schedule!$AQ$15,IF(Schedule!AJ11=16,Schedule!#REF!,IF(Schedule!AJ11=17,Schedule!#REF!,IF(Schedule!AJ11=18,Schedule!$AQ$16,IF(Schedule!AJ11=19,Schedule!$AQ$17,IF(Schedule!AJ11=20,Schedule!$AQ$18,IF(Schedule!AJ11=21,Schedule!#REF!))))))))))))))))))))))</f>
        <v xml:space="preserve">Booth(1)/ VC </v>
      </c>
      <c r="AJ10" s="72" t="str">
        <f>IF(Schedule!AK11=0,Schedule!$AQ$3,IF(Schedule!AK11=1,Schedule!$AQ$4,IF(Schedule!AK11=2,Schedule!$AQ$5,IF(Schedule!AK11=3,Schedule!$AQ$6,IF(Schedule!AK11=4,Schedule!$AQ$7,IF(Schedule!AK11=5,Schedule!$AQ$8,IF(Schedule!AK11=6,Schedule!$AQ$9,IF(Schedule!AK11=7,Schedule!$AQ$10,IF(Schedule!AK11=8,Schedule!#REF!,IF(Schedule!AK11=9,Schedule!$AQ$12,IF(Schedule!AK11=10,Schedule!$AQ$13,IF(Schedule!AK11=11,Schedule!#REF!,IF(Schedule!AK11=12,Schedule!#REF!,IF(Schedule!AK11=13,Schedule!$AQ$14,IF(Schedule!AK11=14,Schedule!#REF!,IF(Schedule!AK11=15,Schedule!$AQ$15,IF(Schedule!AK11=16,Schedule!#REF!,IF(Schedule!AK11=17,Schedule!#REF!,IF(Schedule!AK11=18,Schedule!$AQ$16,IF(Schedule!AK11=19,Schedule!$AQ$17,IF(Schedule!AK11=20,Schedule!$AQ$18,IF(Schedule!AK11=21,Schedule!#REF!))))))))))))))))))))))</f>
        <v>Stop 7(2)/ 5&amp;9</v>
      </c>
      <c r="AK10" s="72" t="str">
        <f>IF(Schedule!AL11=0,Schedule!$AQ$3,IF(Schedule!AL11=1,Schedule!$AQ$4,IF(Schedule!AL11=2,Schedule!$AQ$5,IF(Schedule!AL11=3,Schedule!$AQ$6,IF(Schedule!AL11=4,Schedule!$AQ$7,IF(Schedule!AL11=5,Schedule!$AQ$8,IF(Schedule!AL11=6,Schedule!$AQ$9,IF(Schedule!AL11=7,Schedule!$AQ$10,IF(Schedule!AL11=8,Schedule!#REF!,IF(Schedule!AL11=9,Schedule!$AQ$12,IF(Schedule!AL11=10,Schedule!$AQ$13,IF(Schedule!AL11=11,Schedule!#REF!,IF(Schedule!AL11=12,Schedule!#REF!,IF(Schedule!AL11=13,Schedule!$AQ$14,IF(Schedule!AL11=14,Schedule!#REF!,IF(Schedule!AL11=15,Schedule!$AQ$15,IF(Schedule!AL11=16,Schedule!#REF!,IF(Schedule!AL11=17,Schedule!#REF!,IF(Schedule!AL11=18,Schedule!$AQ$16,IF(Schedule!AL11=19,Schedule!$AQ$17,IF(Schedule!AL11=20,Schedule!$AQ$18,IF(Schedule!AL11=21,Schedule!#REF!))))))))))))))))))))))</f>
        <v>OFF</v>
      </c>
    </row>
    <row r="11" spans="1:37" ht="22" customHeight="1" x14ac:dyDescent="0.2">
      <c r="A11" s="67" t="e">
        <f>Schedule!#REF!</f>
        <v>#REF!</v>
      </c>
      <c r="B11" s="67" t="e">
        <f>Schedule!#REF!</f>
        <v>#REF!</v>
      </c>
      <c r="C11" s="54"/>
      <c r="D11" s="54"/>
      <c r="E11" s="54"/>
      <c r="F11" s="64"/>
      <c r="G11" s="72" t="str">
        <f>IF(Schedule!E12=0,Schedule!$AQ$3,IF(Schedule!E12=1,Schedule!$AQ$4,IF(Schedule!E12=2,Schedule!$AQ$5,IF(Schedule!E12=3,Schedule!$AQ$6,IF(Schedule!E12=4,Schedule!$AQ$7,IF(Schedule!E12=5,Schedule!$AQ$8,IF(Schedule!E12=6,Schedule!$AQ$9,IF(Schedule!E12=7,Schedule!$AQ$10,IF(Schedule!E12=8,Schedule!#REF!,IF(Schedule!E12=9,Schedule!$AQ$12,IF(Schedule!E12=10,Schedule!$AQ$13,IF(Schedule!E12=11,Schedule!#REF!,IF(Schedule!E12=12,Schedule!#REF!,IF(Schedule!E12=13,Schedule!$AQ$14,IF(Schedule!E12=14,Schedule!#REF!,IF(Schedule!E12=15,Schedule!$AQ$15,IF(Schedule!E12=16,Schedule!#REF!,IF(Schedule!E12=17,Schedule!#REF!,IF(Schedule!E12=18,Schedule!$AQ$16,IF(Schedule!E12=19,Schedule!$AQ$17,IF(Schedule!E12=20,Schedule!$AQ$18,IF(Schedule!E12=21,Schedule!#REF!))))))))))))))))))))))</f>
        <v xml:space="preserve">VC(2)/ Booth  </v>
      </c>
      <c r="H11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1" s="72" t="str">
        <f>IF(Schedule!F13=0,Schedule!$AQ$3,IF(Schedule!F13=1,Schedule!$AQ$4,IF(Schedule!F13=2,Schedule!$AQ$5,IF(Schedule!F13=3,Schedule!$AQ$6,IF(Schedule!F13=4,Schedule!$AQ$7,IF(Schedule!F13=5,Schedule!$AQ$8,IF(Schedule!F13=6,Schedule!$AQ$9,IF(Schedule!F13=7,Schedule!$AQ$10,IF(Schedule!F13=8,Schedule!#REF!,IF(Schedule!F13=9,Schedule!$AQ$12,IF(Schedule!F13=10,Schedule!$AQ$13,IF(Schedule!F13=11,Schedule!#REF!,IF(Schedule!F13=12,Schedule!#REF!,IF(Schedule!F13=13,Schedule!$AQ$14,IF(Schedule!F13=14,Schedule!#REF!,IF(Schedule!F13=15,Schedule!$AQ$15,IF(Schedule!F13=16,Schedule!#REF!,IF(Schedule!F13=17,Schedule!#REF!,IF(Schedule!F13=18,Schedule!$AQ$16,IF(Schedule!F13=19,Schedule!$AQ$17,IF(Schedule!F13=20,Schedule!$AQ$18,IF(Schedule!F13=21,Schedule!#REF!))))))))))))))))))))))</f>
        <v>OFF</v>
      </c>
      <c r="J11" s="72" t="str">
        <f>IF(Schedule!J15=0,Schedule!$AQ$3,IF(Schedule!J15=1,Schedule!$AQ$4,IF(Schedule!J15=2,Schedule!$AQ$5,IF(Schedule!J15=3,Schedule!$AQ$6,IF(Schedule!J15=4,Schedule!$AQ$7,IF(Schedule!J15=5,Schedule!$AQ$8,IF(Schedule!J15=6,Schedule!$AQ$9,IF(Schedule!J15=7,Schedule!$AQ$10,IF(Schedule!J15=8,Schedule!#REF!,IF(Schedule!J15=9,Schedule!$AQ$12,IF(Schedule!J15=10,Schedule!$AQ$13,IF(Schedule!J15=11,Schedule!#REF!,IF(Schedule!J15=12,Schedule!#REF!,IF(Schedule!J15=13,Schedule!$AQ$14,IF(Schedule!J15=14,Schedule!#REF!,IF(Schedule!J15=15,Schedule!$AQ$15,IF(Schedule!J15=16,Schedule!#REF!,IF(Schedule!J15=17,Schedule!#REF!,IF(Schedule!J15=18,Schedule!$AQ$16,IF(Schedule!J15=19,Schedule!$AQ$17,IF(Schedule!J15=20,Schedule!$AQ$18,IF(Schedule!J15=21,Schedule!#REF!))))))))))))))))))))))</f>
        <v xml:space="preserve">VC(1)/ Booth </v>
      </c>
      <c r="K11" s="72" t="str">
        <f>IF(Schedule!K12=0,Schedule!$AQ$3,IF(Schedule!K12=1,Schedule!$AQ$4,IF(Schedule!K12=2,Schedule!$AQ$5,IF(Schedule!K12=3,Schedule!$AQ$6,IF(Schedule!K12=4,Schedule!$AQ$7,IF(Schedule!K12=5,Schedule!$AQ$8,IF(Schedule!K12=6,Schedule!$AQ$9,IF(Schedule!K12=7,Schedule!$AQ$10,IF(Schedule!K12=8,Schedule!#REF!,IF(Schedule!K12=9,Schedule!$AQ$12,IF(Schedule!K12=10,Schedule!$AQ$13,IF(Schedule!K12=11,Schedule!#REF!,IF(Schedule!K12=12,Schedule!#REF!,IF(Schedule!K12=13,Schedule!$AQ$14,IF(Schedule!K12=14,Schedule!#REF!,IF(Schedule!K12=15,Schedule!$AQ$15,IF(Schedule!K12=16,Schedule!#REF!,IF(Schedule!K12=17,Schedule!#REF!,IF(Schedule!K12=18,Schedule!$AQ$16,IF(Schedule!K12=19,Schedule!$AQ$17,IF(Schedule!K12=20,Schedule!$AQ$18,IF(Schedule!K12=21,Schedule!#REF!))))))))))))))))))))))</f>
        <v>Art(1)/ Stop 7</v>
      </c>
      <c r="L11" s="72" t="str">
        <f>IF(Schedule!M12=0,Schedule!$AQ$3,IF(Schedule!M12=1,Schedule!$AQ$4,IF(Schedule!M12=2,Schedule!$AQ$5,IF(Schedule!M12=3,Schedule!$AQ$6,IF(Schedule!M12=4,Schedule!$AQ$7,IF(Schedule!M12=5,Schedule!$AQ$8,IF(Schedule!M12=6,Schedule!$AQ$9,IF(Schedule!M12=7,Schedule!$AQ$10,IF(Schedule!M12=8,Schedule!#REF!,IF(Schedule!M12=9,Schedule!$AQ$12,IF(Schedule!M12=10,Schedule!$AQ$13,IF(Schedule!M12=11,Schedule!#REF!,IF(Schedule!M12=12,Schedule!#REF!,IF(Schedule!M12=13,Schedule!$AQ$14,IF(Schedule!M12=14,Schedule!#REF!,IF(Schedule!M12=15,Schedule!$AQ$15,IF(Schedule!M12=16,Schedule!#REF!,IF(Schedule!M12=17,Schedule!#REF!,IF(Schedule!M12=18,Schedule!$AQ$16,IF(Schedule!M12=19,Schedule!$AQ$17,IF(Schedule!M12=20,Schedule!$AQ$18,IF(Schedule!M12=21,Schedule!#REF!))))))))))))))))))))))</f>
        <v>OFF</v>
      </c>
      <c r="M11" s="72" t="str">
        <f>IF(Schedule!N12=0,Schedule!$AQ$3,IF(Schedule!N12=1,Schedule!$AQ$4,IF(Schedule!N12=2,Schedule!$AQ$5,IF(Schedule!N12=3,Schedule!$AQ$6,IF(Schedule!N12=4,Schedule!$AQ$7,IF(Schedule!N12=5,Schedule!$AQ$8,IF(Schedule!N12=6,Schedule!$AQ$9,IF(Schedule!N12=7,Schedule!$AQ$10,IF(Schedule!N12=8,Schedule!#REF!,IF(Schedule!N12=9,Schedule!$AQ$12,IF(Schedule!N12=10,Schedule!$AQ$13,IF(Schedule!N12=11,Schedule!#REF!,IF(Schedule!N12=12,Schedule!#REF!,IF(Schedule!N12=13,Schedule!$AQ$14,IF(Schedule!N12=14,Schedule!#REF!,IF(Schedule!N12=15,Schedule!$AQ$15,IF(Schedule!N12=16,Schedule!#REF!,IF(Schedule!N12=17,Schedule!#REF!,IF(Schedule!N12=18,Schedule!$AQ$16,IF(Schedule!N12=19,Schedule!$AQ$17,IF(Schedule!N12=20,Schedule!$AQ$18,IF(Schedule!N12=21,Schedule!#REF!))))))))))))))))))))))</f>
        <v xml:space="preserve">Booth(2)/ VC </v>
      </c>
      <c r="N11" s="72" t="str">
        <f>IF(Schedule!O12=0,Schedule!$AQ$3,IF(Schedule!O12=1,Schedule!$AQ$4,IF(Schedule!O12=2,Schedule!$AQ$5,IF(Schedule!O12=3,Schedule!$AQ$6,IF(Schedule!O12=4,Schedule!$AQ$7,IF(Schedule!O12=5,Schedule!$AQ$8,IF(Schedule!O12=6,Schedule!$AQ$9,IF(Schedule!O12=7,Schedule!$AQ$10,IF(Schedule!O12=8,Schedule!#REF!,IF(Schedule!O12=9,Schedule!$AQ$12,IF(Schedule!O12=10,Schedule!$AQ$13,IF(Schedule!O12=11,Schedule!#REF!,IF(Schedule!O12=12,Schedule!#REF!,IF(Schedule!O12=13,Schedule!$AQ$14,IF(Schedule!O12=14,Schedule!#REF!,IF(Schedule!O12=15,Schedule!$AQ$15,IF(Schedule!O12=16,Schedule!#REF!,IF(Schedule!O12=17,Schedule!#REF!,IF(Schedule!O12=18,Schedule!$AQ$16,IF(Schedule!O12=19,Schedule!$AQ$17,IF(Schedule!O12=20,Schedule!$AQ$18,IF(Schedule!O12=21,Schedule!#REF!))))))))))))))))))))))</f>
        <v>Stop 7(2)/ 5&amp;9</v>
      </c>
      <c r="O11" s="72" t="str">
        <f>IF(Schedule!P12=0,Schedule!$AQ$3,IF(Schedule!P12=1,Schedule!$AQ$4,IF(Schedule!P12=2,Schedule!$AQ$5,IF(Schedule!P12=3,Schedule!$AQ$6,IF(Schedule!P12=4,Schedule!$AQ$7,IF(Schedule!P12=5,Schedule!$AQ$8,IF(Schedule!P12=6,Schedule!$AQ$9,IF(Schedule!P12=7,Schedule!$AQ$10,IF(Schedule!P12=8,Schedule!#REF!,IF(Schedule!P12=9,Schedule!$AQ$12,IF(Schedule!P12=10,Schedule!$AQ$13,IF(Schedule!P12=11,Schedule!#REF!,IF(Schedule!P12=12,Schedule!#REF!,IF(Schedule!P12=13,Schedule!$AQ$14,IF(Schedule!P12=14,Schedule!#REF!,IF(Schedule!P12=15,Schedule!$AQ$15,IF(Schedule!P12=16,Schedule!#REF!,IF(Schedule!P12=17,Schedule!#REF!,IF(Schedule!P12=18,Schedule!$AQ$16,IF(Schedule!P12=19,Schedule!$AQ$17,IF(Schedule!P12=20,Schedule!$AQ$18,IF(Schedule!P12=21,Schedule!#REF!))))))))))))))))))))))</f>
        <v>OFF</v>
      </c>
      <c r="P11" s="72" t="str">
        <f>IF(Schedule!Q12=0,Schedule!$AQ$3,IF(Schedule!Q12=1,Schedule!$AQ$4,IF(Schedule!Q12=2,Schedule!$AQ$5,IF(Schedule!Q12=3,Schedule!$AQ$6,IF(Schedule!Q12=4,Schedule!$AQ$7,IF(Schedule!Q12=5,Schedule!$AQ$8,IF(Schedule!Q12=6,Schedule!$AQ$9,IF(Schedule!Q12=7,Schedule!$AQ$10,IF(Schedule!Q12=8,Schedule!#REF!,IF(Schedule!Q12=9,Schedule!$AQ$12,IF(Schedule!Q12=10,Schedule!$AQ$13,IF(Schedule!Q12=11,Schedule!#REF!,IF(Schedule!Q12=12,Schedule!#REF!,IF(Schedule!Q12=13,Schedule!$AQ$14,IF(Schedule!Q12=14,Schedule!#REF!,IF(Schedule!Q12=15,Schedule!$AQ$15,IF(Schedule!Q12=16,Schedule!#REF!,IF(Schedule!Q12=17,Schedule!#REF!,IF(Schedule!Q12=18,Schedule!$AQ$16,IF(Schedule!Q12=19,Schedule!$AQ$17,IF(Schedule!Q12=20,Schedule!$AQ$18,IF(Schedule!Q12=21,Schedule!#REF!))))))))))))))))))))))</f>
        <v>OFF</v>
      </c>
      <c r="Q11" s="72" t="str">
        <f>IF(Schedule!R12=0,Schedule!$AQ$3,IF(Schedule!R12=1,Schedule!$AQ$4,IF(Schedule!R12=2,Schedule!$AQ$5,IF(Schedule!R12=3,Schedule!$AQ$6,IF(Schedule!R12=4,Schedule!$AQ$7,IF(Schedule!R12=5,Schedule!$AQ$8,IF(Schedule!R12=6,Schedule!$AQ$9,IF(Schedule!R12=7,Schedule!$AQ$10,IF(Schedule!R12=8,Schedule!#REF!,IF(Schedule!R12=9,Schedule!$AQ$12,IF(Schedule!R12=10,Schedule!$AQ$13,IF(Schedule!R12=11,Schedule!#REF!,IF(Schedule!R12=12,Schedule!#REF!,IF(Schedule!R12=13,Schedule!$AQ$14,IF(Schedule!R12=14,Schedule!#REF!,IF(Schedule!R12=15,Schedule!$AQ$15,IF(Schedule!R12=16,Schedule!#REF!,IF(Schedule!R12=17,Schedule!#REF!,IF(Schedule!R12=18,Schedule!$AQ$16,IF(Schedule!R12=19,Schedule!$AQ$17,IF(Schedule!R12=20,Schedule!$AQ$18,IF(Schedule!R12=21,Schedule!#REF!))))))))))))))))))))))</f>
        <v>Stop 14(2)</v>
      </c>
      <c r="R11" s="72" t="str">
        <f>IF(Schedule!S12=0,Schedule!$AQ$3,IF(Schedule!S12=1,Schedule!$AQ$4,IF(Schedule!S12=2,Schedule!$AQ$5,IF(Schedule!S12=3,Schedule!$AQ$6,IF(Schedule!S12=4,Schedule!$AQ$7,IF(Schedule!S12=5,Schedule!$AQ$8,IF(Schedule!S12=6,Schedule!$AQ$9,IF(Schedule!S12=7,Schedule!$AQ$10,IF(Schedule!S12=8,Schedule!#REF!,IF(Schedule!S12=9,Schedule!$AQ$12,IF(Schedule!S12=10,Schedule!$AQ$13,IF(Schedule!S12=11,Schedule!#REF!,IF(Schedule!S12=12,Schedule!#REF!,IF(Schedule!S12=13,Schedule!$AQ$14,IF(Schedule!S12=14,Schedule!#REF!,IF(Schedule!S12=15,Schedule!$AQ$15,IF(Schedule!S12=16,Schedule!#REF!,IF(Schedule!S12=17,Schedule!#REF!,IF(Schedule!S12=18,Schedule!$AQ$16,IF(Schedule!S12=19,Schedule!$AQ$17,IF(Schedule!S12=20,Schedule!$AQ$18,IF(Schedule!S12=21,Schedule!#REF!))))))))))))))))))))))</f>
        <v>Stop 7(2)</v>
      </c>
      <c r="S11" s="72" t="str">
        <f>IF(Schedule!T12=0,Schedule!$AQ$3,IF(Schedule!T12=1,Schedule!$AQ$4,IF(Schedule!T12=2,Schedule!$AQ$5,IF(Schedule!T12=3,Schedule!$AQ$6,IF(Schedule!T12=4,Schedule!$AQ$7,IF(Schedule!T12=5,Schedule!$AQ$8,IF(Schedule!T12=6,Schedule!$AQ$9,IF(Schedule!T12=7,Schedule!$AQ$10,IF(Schedule!T12=8,Schedule!#REF!,IF(Schedule!T12=9,Schedule!$AQ$12,IF(Schedule!T12=10,Schedule!$AQ$13,IF(Schedule!T12=11,Schedule!#REF!,IF(Schedule!T12=12,Schedule!#REF!,IF(Schedule!T12=13,Schedule!$AQ$14,IF(Schedule!T12=14,Schedule!#REF!,IF(Schedule!T12=15,Schedule!$AQ$15,IF(Schedule!T12=16,Schedule!#REF!,IF(Schedule!T12=17,Schedule!#REF!,IF(Schedule!T12=18,Schedule!$AQ$16,IF(Schedule!T12=19,Schedule!$AQ$17,IF(Schedule!T12=20,Schedule!$AQ$18,IF(Schedule!T12=21,Schedule!#REF!))))))))))))))))))))))</f>
        <v>Stop 14(2)</v>
      </c>
      <c r="T11" s="72" t="str">
        <f>IF(Schedule!U12=0,Schedule!$AQ$3,IF(Schedule!U12=1,Schedule!$AQ$4,IF(Schedule!U12=2,Schedule!$AQ$5,IF(Schedule!U12=3,Schedule!$AQ$6,IF(Schedule!U12=4,Schedule!$AQ$7,IF(Schedule!U12=5,Schedule!$AQ$8,IF(Schedule!U12=6,Schedule!$AQ$9,IF(Schedule!U12=7,Schedule!$AQ$10,IF(Schedule!U12=8,Schedule!#REF!,IF(Schedule!U12=9,Schedule!$AQ$12,IF(Schedule!U12=10,Schedule!$AQ$13,IF(Schedule!U12=11,Schedule!#REF!,IF(Schedule!U12=12,Schedule!#REF!,IF(Schedule!U12=13,Schedule!$AQ$14,IF(Schedule!U12=14,Schedule!#REF!,IF(Schedule!U12=15,Schedule!$AQ$15,IF(Schedule!U12=16,Schedule!#REF!,IF(Schedule!U12=17,Schedule!#REF!,IF(Schedule!U12=18,Schedule!$AQ$16,IF(Schedule!U12=19,Schedule!$AQ$17,IF(Schedule!U12=20,Schedule!$AQ$18,IF(Schedule!U12=21,Schedule!#REF!))))))))))))))))))))))</f>
        <v>OFF</v>
      </c>
      <c r="U11" s="72" t="str">
        <f>IF(Schedule!V12=0,Schedule!$AQ$3,IF(Schedule!V12=1,Schedule!$AQ$4,IF(Schedule!V12=2,Schedule!$AQ$5,IF(Schedule!V12=3,Schedule!$AQ$6,IF(Schedule!V12=4,Schedule!$AQ$7,IF(Schedule!V12=5,Schedule!$AQ$8,IF(Schedule!V12=6,Schedule!$AQ$9,IF(Schedule!V12=7,Schedule!$AQ$10,IF(Schedule!V12=8,Schedule!#REF!,IF(Schedule!V12=9,Schedule!$AQ$12,IF(Schedule!V12=10,Schedule!$AQ$13,IF(Schedule!V12=11,Schedule!#REF!,IF(Schedule!V12=12,Schedule!#REF!,IF(Schedule!V12=13,Schedule!$AQ$14,IF(Schedule!V12=14,Schedule!#REF!,IF(Schedule!V12=15,Schedule!$AQ$15,IF(Schedule!V12=16,Schedule!#REF!,IF(Schedule!V12=17,Schedule!#REF!,IF(Schedule!V12=18,Schedule!$AQ$16,IF(Schedule!V12=19,Schedule!$AQ$17,IF(Schedule!V12=20,Schedule!$AQ$18,IF(Schedule!V12=21,Schedule!#REF!))))))))))))))))))))))</f>
        <v>OFF</v>
      </c>
      <c r="V11" s="72" t="str">
        <f>IF(Schedule!W12=0,Schedule!$AQ$3,IF(Schedule!W12=1,Schedule!$AQ$4,IF(Schedule!W12=2,Schedule!$AQ$5,IF(Schedule!W12=3,Schedule!$AQ$6,IF(Schedule!W12=4,Schedule!$AQ$7,IF(Schedule!W12=5,Schedule!$AQ$8,IF(Schedule!W12=6,Schedule!$AQ$9,IF(Schedule!W12=7,Schedule!$AQ$10,IF(Schedule!W12=8,Schedule!#REF!,IF(Schedule!W12=9,Schedule!$AQ$12,IF(Schedule!W12=10,Schedule!$AQ$13,IF(Schedule!W12=11,Schedule!#REF!,IF(Schedule!W12=12,Schedule!#REF!,IF(Schedule!W12=13,Schedule!$AQ$14,IF(Schedule!W12=14,Schedule!#REF!,IF(Schedule!W12=15,Schedule!$AQ$15,IF(Schedule!W12=16,Schedule!#REF!,IF(Schedule!W12=17,Schedule!#REF!,IF(Schedule!W12=18,Schedule!$AQ$16,IF(Schedule!W12=19,Schedule!$AQ$17,IF(Schedule!W12=20,Schedule!$AQ$18,IF(Schedule!W12=21,Schedule!#REF!))))))))))))))))))))))</f>
        <v xml:space="preserve">Booth(2)/ VC </v>
      </c>
      <c r="W11" s="72" t="str">
        <f>IF(Schedule!X12=0,Schedule!$AQ$3,IF(Schedule!X12=1,Schedule!$AQ$4,IF(Schedule!X12=2,Schedule!$AQ$5,IF(Schedule!X12=3,Schedule!$AQ$6,IF(Schedule!X12=4,Schedule!$AQ$7,IF(Schedule!X12=5,Schedule!$AQ$8,IF(Schedule!X12=6,Schedule!$AQ$9,IF(Schedule!X12=7,Schedule!$AQ$10,IF(Schedule!X12=8,Schedule!#REF!,IF(Schedule!X12=9,Schedule!$AQ$12,IF(Schedule!X12=10,Schedule!$AQ$13,IF(Schedule!X12=11,Schedule!#REF!,IF(Schedule!X12=12,Schedule!#REF!,IF(Schedule!X12=13,Schedule!$AQ$14,IF(Schedule!X12=14,Schedule!#REF!,IF(Schedule!X12=15,Schedule!$AQ$15,IF(Schedule!X12=16,Schedule!#REF!,IF(Schedule!X12=17,Schedule!#REF!,IF(Schedule!X12=18,Schedule!$AQ$16,IF(Schedule!X12=19,Schedule!$AQ$17,IF(Schedule!X12=20,Schedule!$AQ$18,IF(Schedule!X12=21,Schedule!#REF!))))))))))))))))))))))</f>
        <v xml:space="preserve">Booth(1)/ VC </v>
      </c>
      <c r="X11" s="72" t="str">
        <f>IF(Schedule!Y12=0,Schedule!$AQ$3,IF(Schedule!Y12=1,Schedule!$AQ$4,IF(Schedule!Y12=2,Schedule!$AQ$5,IF(Schedule!Y12=3,Schedule!$AQ$6,IF(Schedule!Y12=4,Schedule!$AQ$7,IF(Schedule!Y12=5,Schedule!$AQ$8,IF(Schedule!Y12=6,Schedule!$AQ$9,IF(Schedule!Y12=7,Schedule!$AQ$10,IF(Schedule!Y12=8,Schedule!#REF!,IF(Schedule!Y12=9,Schedule!$AQ$12,IF(Schedule!Y12=10,Schedule!$AQ$13,IF(Schedule!Y12=11,Schedule!#REF!,IF(Schedule!Y12=12,Schedule!#REF!,IF(Schedule!Y12=13,Schedule!$AQ$14,IF(Schedule!Y12=14,Schedule!#REF!,IF(Schedule!Y12=15,Schedule!$AQ$15,IF(Schedule!Y12=16,Schedule!#REF!,IF(Schedule!Y12=17,Schedule!#REF!,IF(Schedule!Y12=18,Schedule!$AQ$16,IF(Schedule!Y12=19,Schedule!$AQ$17,IF(Schedule!Y12=20,Schedule!$AQ$18,IF(Schedule!Y12=21,Schedule!#REF!))))))))))))))))))))))</f>
        <v>Stop 14(2)</v>
      </c>
      <c r="Y11" s="72" t="str">
        <f>IF(Schedule!Z12=0,Schedule!$AQ$3,IF(Schedule!Z12=1,Schedule!$AQ$4,IF(Schedule!Z12=2,Schedule!$AQ$5,IF(Schedule!Z12=3,Schedule!$AQ$6,IF(Schedule!Z12=4,Schedule!$AQ$7,IF(Schedule!Z12=5,Schedule!$AQ$8,IF(Schedule!Z12=6,Schedule!$AQ$9,IF(Schedule!Z12=7,Schedule!$AQ$10,IF(Schedule!Z12=8,Schedule!#REF!,IF(Schedule!Z12=9,Schedule!$AQ$12,IF(Schedule!Z12=10,Schedule!$AQ$13,IF(Schedule!Z12=11,Schedule!#REF!,IF(Schedule!Z12=12,Schedule!#REF!,IF(Schedule!Z12=13,Schedule!$AQ$14,IF(Schedule!Z12=14,Schedule!#REF!,IF(Schedule!Z12=15,Schedule!$AQ$15,IF(Schedule!Z12=16,Schedule!#REF!,IF(Schedule!Z12=17,Schedule!#REF!,IF(Schedule!Z12=18,Schedule!$AQ$16,IF(Schedule!Z12=19,Schedule!$AQ$17,IF(Schedule!Z12=20,Schedule!$AQ$18,IF(Schedule!Z12=21,Schedule!#REF!))))))))))))))))))))))</f>
        <v>OFF</v>
      </c>
      <c r="Z11" s="72" t="str">
        <f>IF(Schedule!AA12=0,Schedule!$AQ$3,IF(Schedule!AA12=1,Schedule!$AQ$4,IF(Schedule!AA12=2,Schedule!$AQ$5,IF(Schedule!AA12=3,Schedule!$AQ$6,IF(Schedule!AA12=4,Schedule!$AQ$7,IF(Schedule!AA12=5,Schedule!$AQ$8,IF(Schedule!AA12=6,Schedule!$AQ$9,IF(Schedule!AA12=7,Schedule!$AQ$10,IF(Schedule!AA12=8,Schedule!#REF!,IF(Schedule!AA12=9,Schedule!$AQ$12,IF(Schedule!AA12=10,Schedule!$AQ$13,IF(Schedule!AA12=11,Schedule!#REF!,IF(Schedule!AA12=12,Schedule!#REF!,IF(Schedule!AA12=13,Schedule!$AQ$14,IF(Schedule!AA12=14,Schedule!#REF!,IF(Schedule!AA12=15,Schedule!$AQ$15,IF(Schedule!AA12=16,Schedule!#REF!,IF(Schedule!AA12=17,Schedule!#REF!,IF(Schedule!AA12=18,Schedule!$AQ$16,IF(Schedule!AA12=19,Schedule!$AQ$17,IF(Schedule!AA12=20,Schedule!$AQ$18,IF(Schedule!AA12=21,Schedule!#REF!))))))))))))))))))))))</f>
        <v>Art(1)/ Stop 7</v>
      </c>
      <c r="AA11" s="72" t="e">
        <f>IF(Schedule!AB12=0,Schedule!$AQ$3,IF(Schedule!AB12=1,Schedule!$AQ$4,IF(Schedule!AB12=2,Schedule!$AQ$5,IF(Schedule!AB12=3,Schedule!$AQ$6,IF(Schedule!AB12=4,Schedule!$AQ$7,IF(Schedule!AB12=5,Schedule!$AQ$8,IF(Schedule!AB12=6,Schedule!$AQ$9,IF(Schedule!AB12=7,Schedule!$AQ$10,IF(Schedule!AB12=8,Schedule!#REF!,IF(Schedule!AB12=9,Schedule!$AQ$12,IF(Schedule!AB12=10,Schedule!$AQ$13,IF(Schedule!AB12=11,Schedule!#REF!,IF(Schedule!AB12=12,Schedule!#REF!,IF(Schedule!AB12=13,Schedule!$AQ$14,IF(Schedule!AB12=14,Schedule!#REF!,IF(Schedule!AB12=15,Schedule!$AQ$15,IF(Schedule!AB12=16,Schedule!#REF!,IF(Schedule!AB12=17,Schedule!#REF!,IF(Schedule!AB12=18,Schedule!$AQ$16,IF(Schedule!AB12=19,Schedule!$AQ$17,IF(Schedule!AB12=20,Schedule!$AQ$18,IF(Schedule!AB12=21,Schedule!#REF!))))))))))))))))))))))</f>
        <v>#REF!</v>
      </c>
      <c r="AB11" s="72" t="str">
        <f>IF(Schedule!AC12=0,Schedule!$AQ$3,IF(Schedule!AC12=1,Schedule!$AQ$4,IF(Schedule!AC12=2,Schedule!$AQ$5,IF(Schedule!AC12=3,Schedule!$AQ$6,IF(Schedule!AC12=4,Schedule!$AQ$7,IF(Schedule!AC12=5,Schedule!$AQ$8,IF(Schedule!AC12=6,Schedule!$AQ$9,IF(Schedule!AC12=7,Schedule!$AQ$10,IF(Schedule!AC12=8,Schedule!#REF!,IF(Schedule!AC12=9,Schedule!$AQ$12,IF(Schedule!AC12=10,Schedule!$AQ$13,IF(Schedule!AC12=11,Schedule!#REF!,IF(Schedule!AC12=12,Schedule!#REF!,IF(Schedule!AC12=13,Schedule!$AQ$14,IF(Schedule!AC12=14,Schedule!#REF!,IF(Schedule!AC12=15,Schedule!$AQ$15,IF(Schedule!AC12=16,Schedule!#REF!,IF(Schedule!AC12=17,Schedule!#REF!,IF(Schedule!AC12=18,Schedule!$AQ$16,IF(Schedule!AC12=19,Schedule!$AQ$17,IF(Schedule!AC12=20,Schedule!$AQ$18,IF(Schedule!AC12=21,Schedule!#REF!))))))))))))))))))))))</f>
        <v>OFF</v>
      </c>
      <c r="AC11" s="72" t="str">
        <f>IF(Schedule!AD12=0,Schedule!$AQ$3,IF(Schedule!AD12=1,Schedule!$AQ$4,IF(Schedule!AD12=2,Schedule!$AQ$5,IF(Schedule!AD12=3,Schedule!$AQ$6,IF(Schedule!AD12=4,Schedule!$AQ$7,IF(Schedule!AD12=5,Schedule!$AQ$8,IF(Schedule!AD12=6,Schedule!$AQ$9,IF(Schedule!AD12=7,Schedule!$AQ$10,IF(Schedule!AD12=8,Schedule!#REF!,IF(Schedule!AD12=9,Schedule!$AQ$12,IF(Schedule!AD12=10,Schedule!$AQ$13,IF(Schedule!AD12=11,Schedule!#REF!,IF(Schedule!AD12=12,Schedule!#REF!,IF(Schedule!AD12=13,Schedule!$AQ$14,IF(Schedule!AD12=14,Schedule!#REF!,IF(Schedule!AD12=15,Schedule!$AQ$15,IF(Schedule!AD12=16,Schedule!#REF!,IF(Schedule!AD12=17,Schedule!#REF!,IF(Schedule!AD12=18,Schedule!$AQ$16,IF(Schedule!AD12=19,Schedule!$AQ$17,IF(Schedule!AD12=20,Schedule!$AQ$18,IF(Schedule!AD12=21,Schedule!#REF!))))))))))))))))))))))</f>
        <v>OFF</v>
      </c>
      <c r="AD11" s="72" t="str">
        <f>IF(Schedule!AE12=0,Schedule!$AQ$3,IF(Schedule!AE12=1,Schedule!$AQ$4,IF(Schedule!AE12=2,Schedule!$AQ$5,IF(Schedule!AE12=3,Schedule!$AQ$6,IF(Schedule!AE12=4,Schedule!$AQ$7,IF(Schedule!AE12=5,Schedule!$AQ$8,IF(Schedule!AE12=6,Schedule!$AQ$9,IF(Schedule!AE12=7,Schedule!$AQ$10,IF(Schedule!AE12=8,Schedule!#REF!,IF(Schedule!AE12=9,Schedule!$AQ$12,IF(Schedule!AE12=10,Schedule!$AQ$13,IF(Schedule!AE12=11,Schedule!#REF!,IF(Schedule!AE12=12,Schedule!#REF!,IF(Schedule!AE12=13,Schedule!$AQ$14,IF(Schedule!AE12=14,Schedule!#REF!,IF(Schedule!AE12=15,Schedule!$AQ$15,IF(Schedule!AE12=16,Schedule!#REF!,IF(Schedule!AE12=17,Schedule!#REF!,IF(Schedule!AE12=18,Schedule!$AQ$16,IF(Schedule!AE12=19,Schedule!$AQ$17,IF(Schedule!AE12=20,Schedule!$AQ$18,IF(Schedule!AE12=21,Schedule!#REF!))))))))))))))))))))))</f>
        <v>Stop 14(2)</v>
      </c>
      <c r="AE11" s="72" t="str">
        <f>IF(Schedule!AF12=0,Schedule!$AQ$3,IF(Schedule!AF12=1,Schedule!$AQ$4,IF(Schedule!AF12=2,Schedule!$AQ$5,IF(Schedule!AF12=3,Schedule!$AQ$6,IF(Schedule!AF12=4,Schedule!$AQ$7,IF(Schedule!AF12=5,Schedule!$AQ$8,IF(Schedule!AF12=6,Schedule!$AQ$9,IF(Schedule!AF12=7,Schedule!$AQ$10,IF(Schedule!AF12=8,Schedule!#REF!,IF(Schedule!AF12=9,Schedule!$AQ$12,IF(Schedule!AF12=10,Schedule!$AQ$13,IF(Schedule!AF12=11,Schedule!#REF!,IF(Schedule!AF12=12,Schedule!#REF!,IF(Schedule!AF12=13,Schedule!$AQ$14,IF(Schedule!AF12=14,Schedule!#REF!,IF(Schedule!AF12=15,Schedule!$AQ$15,IF(Schedule!AF12=16,Schedule!#REF!,IF(Schedule!AF12=17,Schedule!#REF!,IF(Schedule!AF12=18,Schedule!$AQ$16,IF(Schedule!AF12=19,Schedule!$AQ$17,IF(Schedule!AF12=20,Schedule!$AQ$18,IF(Schedule!AF12=21,Schedule!#REF!))))))))))))))))))))))</f>
        <v>Stop 7(2)</v>
      </c>
      <c r="AF11" s="72" t="str">
        <f>IF(Schedule!AG12=0,Schedule!$AQ$3,IF(Schedule!AG12=1,Schedule!$AQ$4,IF(Schedule!AG12=2,Schedule!$AQ$5,IF(Schedule!AG12=3,Schedule!$AQ$6,IF(Schedule!AG12=4,Schedule!$AQ$7,IF(Schedule!AG12=5,Schedule!$AQ$8,IF(Schedule!AG12=6,Schedule!$AQ$9,IF(Schedule!AG12=7,Schedule!$AQ$10,IF(Schedule!AG12=8,Schedule!#REF!,IF(Schedule!AG12=9,Schedule!$AQ$12,IF(Schedule!AG12=10,Schedule!$AQ$13,IF(Schedule!AG12=11,Schedule!#REF!,IF(Schedule!AG12=12,Schedule!#REF!,IF(Schedule!AG12=13,Schedule!$AQ$14,IF(Schedule!AG12=14,Schedule!#REF!,IF(Schedule!AG12=15,Schedule!$AQ$15,IF(Schedule!AG12=16,Schedule!#REF!,IF(Schedule!AG12=17,Schedule!#REF!,IF(Schedule!AG12=18,Schedule!$AQ$16,IF(Schedule!AG12=19,Schedule!$AQ$17,IF(Schedule!AG12=20,Schedule!$AQ$18,IF(Schedule!AG12=21,Schedule!#REF!))))))))))))))))))))))</f>
        <v xml:space="preserve">VC(2)/ Booth  </v>
      </c>
      <c r="AG11" s="72" t="str">
        <f>IF(Schedule!AH12=0,Schedule!$AQ$3,IF(Schedule!AH12=1,Schedule!$AQ$4,IF(Schedule!AH12=2,Schedule!$AQ$5,IF(Schedule!AH12=3,Schedule!$AQ$6,IF(Schedule!AH12=4,Schedule!$AQ$7,IF(Schedule!AH12=5,Schedule!$AQ$8,IF(Schedule!AH12=6,Schedule!$AQ$9,IF(Schedule!AH12=7,Schedule!$AQ$10,IF(Schedule!AH12=8,Schedule!#REF!,IF(Schedule!AH12=9,Schedule!$AQ$12,IF(Schedule!AH12=10,Schedule!$AQ$13,IF(Schedule!AH12=11,Schedule!#REF!,IF(Schedule!AH12=12,Schedule!#REF!,IF(Schedule!AH12=13,Schedule!$AQ$14,IF(Schedule!AH12=14,Schedule!#REF!,IF(Schedule!AH12=15,Schedule!$AQ$15,IF(Schedule!AH12=16,Schedule!#REF!,IF(Schedule!AH12=17,Schedule!#REF!,IF(Schedule!AH12=18,Schedule!$AQ$16,IF(Schedule!AH12=19,Schedule!$AQ$17,IF(Schedule!AH12=20,Schedule!$AQ$18,IF(Schedule!AH12=21,Schedule!#REF!))))))))))))))))))))))</f>
        <v>OFF</v>
      </c>
      <c r="AH11" s="72" t="str">
        <f>IF(Schedule!AI12=0,Schedule!$AQ$3,IF(Schedule!AI12=1,Schedule!$AQ$4,IF(Schedule!AI12=2,Schedule!$AQ$5,IF(Schedule!AI12=3,Schedule!$AQ$6,IF(Schedule!AI12=4,Schedule!$AQ$7,IF(Schedule!AI12=5,Schedule!$AQ$8,IF(Schedule!AI12=6,Schedule!$AQ$9,IF(Schedule!AI12=7,Schedule!$AQ$10,IF(Schedule!AI12=8,Schedule!#REF!,IF(Schedule!AI12=9,Schedule!$AQ$12,IF(Schedule!AI12=10,Schedule!$AQ$13,IF(Schedule!AI12=11,Schedule!#REF!,IF(Schedule!AI12=12,Schedule!#REF!,IF(Schedule!AI12=13,Schedule!$AQ$14,IF(Schedule!AI12=14,Schedule!#REF!,IF(Schedule!AI12=15,Schedule!$AQ$15,IF(Schedule!AI12=16,Schedule!#REF!,IF(Schedule!AI12=17,Schedule!#REF!,IF(Schedule!AI12=18,Schedule!$AQ$16,IF(Schedule!AI12=19,Schedule!$AQ$17,IF(Schedule!AI12=20,Schedule!$AQ$18,IF(Schedule!AI12=21,Schedule!#REF!))))))))))))))))))))))</f>
        <v>Stop 7(2)/ 5&amp;9</v>
      </c>
      <c r="AI11" s="72" t="str">
        <f>IF(Schedule!AJ12=0,Schedule!$AQ$3,IF(Schedule!AJ12=1,Schedule!$AQ$4,IF(Schedule!AJ12=2,Schedule!$AQ$5,IF(Schedule!AJ12=3,Schedule!$AQ$6,IF(Schedule!AJ12=4,Schedule!$AQ$7,IF(Schedule!AJ12=5,Schedule!$AQ$8,IF(Schedule!AJ12=6,Schedule!$AQ$9,IF(Schedule!AJ12=7,Schedule!$AQ$10,IF(Schedule!AJ12=8,Schedule!#REF!,IF(Schedule!AJ12=9,Schedule!$AQ$12,IF(Schedule!AJ12=10,Schedule!$AQ$13,IF(Schedule!AJ12=11,Schedule!#REF!,IF(Schedule!AJ12=12,Schedule!#REF!,IF(Schedule!AJ12=13,Schedule!$AQ$14,IF(Schedule!AJ12=14,Schedule!#REF!,IF(Schedule!AJ12=15,Schedule!$AQ$15,IF(Schedule!AJ12=16,Schedule!#REF!,IF(Schedule!AJ12=17,Schedule!#REF!,IF(Schedule!AJ12=18,Schedule!$AQ$16,IF(Schedule!AJ12=19,Schedule!$AQ$17,IF(Schedule!AJ12=20,Schedule!$AQ$18,IF(Schedule!AJ12=21,Schedule!#REF!))))))))))))))))))))))</f>
        <v xml:space="preserve">VC(1)/ Booth </v>
      </c>
      <c r="AJ11" s="72" t="str">
        <f>IF(Schedule!AK12=0,Schedule!$AQ$3,IF(Schedule!AK12=1,Schedule!$AQ$4,IF(Schedule!AK12=2,Schedule!$AQ$5,IF(Schedule!AK12=3,Schedule!$AQ$6,IF(Schedule!AK12=4,Schedule!$AQ$7,IF(Schedule!AK12=5,Schedule!$AQ$8,IF(Schedule!AK12=6,Schedule!$AQ$9,IF(Schedule!AK12=7,Schedule!$AQ$10,IF(Schedule!AK12=8,Schedule!#REF!,IF(Schedule!AK12=9,Schedule!$AQ$12,IF(Schedule!AK12=10,Schedule!$AQ$13,IF(Schedule!AK12=11,Schedule!#REF!,IF(Schedule!AK12=12,Schedule!#REF!,IF(Schedule!AK12=13,Schedule!$AQ$14,IF(Schedule!AK12=14,Schedule!#REF!,IF(Schedule!AK12=15,Schedule!$AQ$15,IF(Schedule!AK12=16,Schedule!#REF!,IF(Schedule!AK12=17,Schedule!#REF!,IF(Schedule!AK12=18,Schedule!$AQ$16,IF(Schedule!AK12=19,Schedule!$AQ$17,IF(Schedule!AK12=20,Schedule!$AQ$18,IF(Schedule!AK12=21,Schedule!#REF!))))))))))))))))))))))</f>
        <v>OFF</v>
      </c>
      <c r="AK11" s="72" t="str">
        <f>IF(Schedule!AL12=0,Schedule!$AQ$3,IF(Schedule!AL12=1,Schedule!$AQ$4,IF(Schedule!AL12=2,Schedule!$AQ$5,IF(Schedule!AL12=3,Schedule!$AQ$6,IF(Schedule!AL12=4,Schedule!$AQ$7,IF(Schedule!AL12=5,Schedule!$AQ$8,IF(Schedule!AL12=6,Schedule!$AQ$9,IF(Schedule!AL12=7,Schedule!$AQ$10,IF(Schedule!AL12=8,Schedule!#REF!,IF(Schedule!AL12=9,Schedule!$AQ$12,IF(Schedule!AL12=10,Schedule!$AQ$13,IF(Schedule!AL12=11,Schedule!#REF!,IF(Schedule!AL12=12,Schedule!#REF!,IF(Schedule!AL12=13,Schedule!$AQ$14,IF(Schedule!AL12=14,Schedule!#REF!,IF(Schedule!AL12=15,Schedule!$AQ$15,IF(Schedule!AL12=16,Schedule!#REF!,IF(Schedule!AL12=17,Schedule!#REF!,IF(Schedule!AL12=18,Schedule!$AQ$16,IF(Schedule!AL12=19,Schedule!$AQ$17,IF(Schedule!AL12=20,Schedule!$AQ$18,IF(Schedule!AL12=21,Schedule!#REF!))))))))))))))))))))))</f>
        <v>OFF</v>
      </c>
    </row>
    <row r="12" spans="1:37" ht="22" customHeight="1" x14ac:dyDescent="0.2">
      <c r="A12" s="67" t="str">
        <f>Schedule!D12</f>
        <v>Doe</v>
      </c>
      <c r="B12" s="67" t="str">
        <f>Schedule!C12</f>
        <v>Jane</v>
      </c>
      <c r="C12" s="54"/>
      <c r="D12" s="54"/>
      <c r="E12" s="54"/>
      <c r="F12" s="64"/>
      <c r="G12" s="72" t="str">
        <f>IF(Schedule!E13=0,Schedule!$AQ$3,IF(Schedule!E13=1,Schedule!$AQ$4,IF(Schedule!E13=2,Schedule!$AQ$5,IF(Schedule!E13=3,Schedule!$AQ$6,IF(Schedule!E13=4,Schedule!$AQ$7,IF(Schedule!E13=5,Schedule!$AQ$8,IF(Schedule!E13=6,Schedule!$AQ$9,IF(Schedule!E13=7,Schedule!$AQ$10,IF(Schedule!E13=8,Schedule!#REF!,IF(Schedule!E13=9,Schedule!$AQ$12,IF(Schedule!E13=10,Schedule!$AQ$13,IF(Schedule!E13=11,Schedule!#REF!,IF(Schedule!E13=12,Schedule!#REF!,IF(Schedule!E13=13,Schedule!$AQ$14,IF(Schedule!E13=14,Schedule!#REF!,IF(Schedule!E13=15,Schedule!$AQ$15,IF(Schedule!E13=16,Schedule!#REF!,IF(Schedule!E13=17,Schedule!#REF!,IF(Schedule!E13=18,Schedule!$AQ$16,IF(Schedule!E13=19,Schedule!$AQ$17,IF(Schedule!E13=20,Schedule!$AQ$18,IF(Schedule!E13=21,Schedule!#REF!))))))))))))))))))))))</f>
        <v>OFF</v>
      </c>
      <c r="H12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2" s="72" t="str">
        <f>IF(Schedule!F14=0,Schedule!$AQ$3,IF(Schedule!F14=1,Schedule!$AQ$4,IF(Schedule!F14=2,Schedule!$AQ$5,IF(Schedule!F14=3,Schedule!$AQ$6,IF(Schedule!F14=4,Schedule!$AQ$7,IF(Schedule!F14=5,Schedule!$AQ$8,IF(Schedule!F14=6,Schedule!$AQ$9,IF(Schedule!F14=7,Schedule!$AQ$10,IF(Schedule!F14=8,Schedule!#REF!,IF(Schedule!F14=9,Schedule!$AQ$12,IF(Schedule!F14=10,Schedule!$AQ$13,IF(Schedule!F14=11,Schedule!#REF!,IF(Schedule!F14=12,Schedule!#REF!,IF(Schedule!F14=13,Schedule!$AQ$14,IF(Schedule!F14=14,Schedule!#REF!,IF(Schedule!F14=15,Schedule!$AQ$15,IF(Schedule!F14=16,Schedule!#REF!,IF(Schedule!F14=17,Schedule!#REF!,IF(Schedule!F14=18,Schedule!$AQ$16,IF(Schedule!F14=19,Schedule!$AQ$17,IF(Schedule!F14=20,Schedule!$AQ$18,IF(Schedule!F14=21,Schedule!#REF!))))))))))))))))))))))</f>
        <v xml:space="preserve">VC(2)/ Booth  </v>
      </c>
      <c r="J12" s="72" t="str">
        <f>IF(Schedule!J16=0,Schedule!$AQ$3,IF(Schedule!J16=1,Schedule!$AQ$4,IF(Schedule!J16=2,Schedule!$AQ$5,IF(Schedule!J16=3,Schedule!$AQ$6,IF(Schedule!J16=4,Schedule!$AQ$7,IF(Schedule!J16=5,Schedule!$AQ$8,IF(Schedule!J16=6,Schedule!$AQ$9,IF(Schedule!J16=7,Schedule!$AQ$10,IF(Schedule!J16=8,Schedule!#REF!,IF(Schedule!J16=9,Schedule!$AQ$12,IF(Schedule!J16=10,Schedule!$AQ$13,IF(Schedule!J16=11,Schedule!#REF!,IF(Schedule!J16=12,Schedule!#REF!,IF(Schedule!J16=13,Schedule!$AQ$14,IF(Schedule!J16=14,Schedule!#REF!,IF(Schedule!J16=15,Schedule!$AQ$15,IF(Schedule!J16=16,Schedule!#REF!,IF(Schedule!J16=17,Schedule!#REF!,IF(Schedule!J16=18,Schedule!$AQ$16,IF(Schedule!J16=19,Schedule!$AQ$17,IF(Schedule!J16=20,Schedule!$AQ$18,IF(Schedule!J16=21,Schedule!#REF!))))))))))))))))))))))</f>
        <v xml:space="preserve">Booth(2)/ VC </v>
      </c>
      <c r="K12" s="72" t="str">
        <f>IF(Schedule!K13=0,Schedule!$AQ$3,IF(Schedule!K13=1,Schedule!$AQ$4,IF(Schedule!K13=2,Schedule!$AQ$5,IF(Schedule!K13=3,Schedule!$AQ$6,IF(Schedule!K13=4,Schedule!$AQ$7,IF(Schedule!K13=5,Schedule!$AQ$8,IF(Schedule!K13=6,Schedule!$AQ$9,IF(Schedule!K13=7,Schedule!$AQ$10,IF(Schedule!K13=8,Schedule!#REF!,IF(Schedule!K13=9,Schedule!$AQ$12,IF(Schedule!K13=10,Schedule!$AQ$13,IF(Schedule!K13=11,Schedule!#REF!,IF(Schedule!K13=12,Schedule!#REF!,IF(Schedule!K13=13,Schedule!$AQ$14,IF(Schedule!K13=14,Schedule!#REF!,IF(Schedule!K13=15,Schedule!$AQ$15,IF(Schedule!K13=16,Schedule!#REF!,IF(Schedule!K13=17,Schedule!#REF!,IF(Schedule!K13=18,Schedule!$AQ$16,IF(Schedule!K13=19,Schedule!$AQ$17,IF(Schedule!K13=20,Schedule!$AQ$18,IF(Schedule!K13=21,Schedule!#REF!))))))))))))))))))))))</f>
        <v xml:space="preserve">VC(2)/ Booth  </v>
      </c>
      <c r="L12" s="72" t="str">
        <f>IF(Schedule!M13=0,Schedule!$AQ$3,IF(Schedule!M13=1,Schedule!$AQ$4,IF(Schedule!M13=2,Schedule!$AQ$5,IF(Schedule!M13=3,Schedule!$AQ$6,IF(Schedule!M13=4,Schedule!$AQ$7,IF(Schedule!M13=5,Schedule!$AQ$8,IF(Schedule!M13=6,Schedule!$AQ$9,IF(Schedule!M13=7,Schedule!$AQ$10,IF(Schedule!M13=8,Schedule!#REF!,IF(Schedule!M13=9,Schedule!$AQ$12,IF(Schedule!M13=10,Schedule!$AQ$13,IF(Schedule!M13=11,Schedule!#REF!,IF(Schedule!M13=12,Schedule!#REF!,IF(Schedule!M13=13,Schedule!$AQ$14,IF(Schedule!M13=14,Schedule!#REF!,IF(Schedule!M13=15,Schedule!$AQ$15,IF(Schedule!M13=16,Schedule!#REF!,IF(Schedule!M13=17,Schedule!#REF!,IF(Schedule!M13=18,Schedule!$AQ$16,IF(Schedule!M13=19,Schedule!$AQ$17,IF(Schedule!M13=20,Schedule!$AQ$18,IF(Schedule!M13=21,Schedule!#REF!))))))))))))))))))))))</f>
        <v>OFF</v>
      </c>
      <c r="M12" s="72" t="str">
        <f>IF(Schedule!N13=0,Schedule!$AQ$3,IF(Schedule!N13=1,Schedule!$AQ$4,IF(Schedule!N13=2,Schedule!$AQ$5,IF(Schedule!N13=3,Schedule!$AQ$6,IF(Schedule!N13=4,Schedule!$AQ$7,IF(Schedule!N13=5,Schedule!$AQ$8,IF(Schedule!N13=6,Schedule!$AQ$9,IF(Schedule!N13=7,Schedule!$AQ$10,IF(Schedule!N13=8,Schedule!#REF!,IF(Schedule!N13=9,Schedule!$AQ$12,IF(Schedule!N13=10,Schedule!$AQ$13,IF(Schedule!N13=11,Schedule!#REF!,IF(Schedule!N13=12,Schedule!#REF!,IF(Schedule!N13=13,Schedule!$AQ$14,IF(Schedule!N13=14,Schedule!#REF!,IF(Schedule!N13=15,Schedule!$AQ$15,IF(Schedule!N13=16,Schedule!#REF!,IF(Schedule!N13=17,Schedule!#REF!,IF(Schedule!N13=18,Schedule!$AQ$16,IF(Schedule!N13=19,Schedule!$AQ$17,IF(Schedule!N13=20,Schedule!$AQ$18,IF(Schedule!N13=21,Schedule!#REF!))))))))))))))))))))))</f>
        <v>OFF</v>
      </c>
      <c r="N12" s="72" t="str">
        <f>IF(Schedule!O13=0,Schedule!$AQ$3,IF(Schedule!O13=1,Schedule!$AQ$4,IF(Schedule!O13=2,Schedule!$AQ$5,IF(Schedule!O13=3,Schedule!$AQ$6,IF(Schedule!O13=4,Schedule!$AQ$7,IF(Schedule!O13=5,Schedule!$AQ$8,IF(Schedule!O13=6,Schedule!$AQ$9,IF(Schedule!O13=7,Schedule!$AQ$10,IF(Schedule!O13=8,Schedule!#REF!,IF(Schedule!O13=9,Schedule!$AQ$12,IF(Schedule!O13=10,Schedule!$AQ$13,IF(Schedule!O13=11,Schedule!#REF!,IF(Schedule!O13=12,Schedule!#REF!,IF(Schedule!O13=13,Schedule!$AQ$14,IF(Schedule!O13=14,Schedule!#REF!,IF(Schedule!O13=15,Schedule!$AQ$15,IF(Schedule!O13=16,Schedule!#REF!,IF(Schedule!O13=17,Schedule!#REF!,IF(Schedule!O13=18,Schedule!$AQ$16,IF(Schedule!O13=19,Schedule!$AQ$17,IF(Schedule!O13=20,Schedule!$AQ$18,IF(Schedule!O13=21,Schedule!#REF!))))))))))))))))))))))</f>
        <v>Art(1)/ Stop 7</v>
      </c>
      <c r="O12" s="72" t="str">
        <f>IF(Schedule!P13=0,Schedule!$AQ$3,IF(Schedule!P13=1,Schedule!$AQ$4,IF(Schedule!P13=2,Schedule!$AQ$5,IF(Schedule!P13=3,Schedule!$AQ$6,IF(Schedule!P13=4,Schedule!$AQ$7,IF(Schedule!P13=5,Schedule!$AQ$8,IF(Schedule!P13=6,Schedule!$AQ$9,IF(Schedule!P13=7,Schedule!$AQ$10,IF(Schedule!P13=8,Schedule!#REF!,IF(Schedule!P13=9,Schedule!$AQ$12,IF(Schedule!P13=10,Schedule!$AQ$13,IF(Schedule!P13=11,Schedule!#REF!,IF(Schedule!P13=12,Schedule!#REF!,IF(Schedule!P13=13,Schedule!$AQ$14,IF(Schedule!P13=14,Schedule!#REF!,IF(Schedule!P13=15,Schedule!$AQ$15,IF(Schedule!P13=16,Schedule!#REF!,IF(Schedule!P13=17,Schedule!#REF!,IF(Schedule!P13=18,Schedule!$AQ$16,IF(Schedule!P13=19,Schedule!$AQ$17,IF(Schedule!P13=20,Schedule!$AQ$18,IF(Schedule!P13=21,Schedule!#REF!))))))))))))))))))))))</f>
        <v>Stop 7(2)/ 5&amp;9</v>
      </c>
      <c r="P12" s="72" t="str">
        <f>IF(Schedule!Q13=0,Schedule!$AQ$3,IF(Schedule!Q13=1,Schedule!$AQ$4,IF(Schedule!Q13=2,Schedule!$AQ$5,IF(Schedule!Q13=3,Schedule!$AQ$6,IF(Schedule!Q13=4,Schedule!$AQ$7,IF(Schedule!Q13=5,Schedule!$AQ$8,IF(Schedule!Q13=6,Schedule!$AQ$9,IF(Schedule!Q13=7,Schedule!$AQ$10,IF(Schedule!Q13=8,Schedule!#REF!,IF(Schedule!Q13=9,Schedule!$AQ$12,IF(Schedule!Q13=10,Schedule!$AQ$13,IF(Schedule!Q13=11,Schedule!#REF!,IF(Schedule!Q13=12,Schedule!#REF!,IF(Schedule!Q13=13,Schedule!$AQ$14,IF(Schedule!Q13=14,Schedule!#REF!,IF(Schedule!Q13=15,Schedule!$AQ$15,IF(Schedule!Q13=16,Schedule!#REF!,IF(Schedule!Q13=17,Schedule!#REF!,IF(Schedule!Q13=18,Schedule!$AQ$16,IF(Schedule!Q13=19,Schedule!$AQ$17,IF(Schedule!Q13=20,Schedule!$AQ$18,IF(Schedule!Q13=21,Schedule!#REF!))))))))))))))))))))))</f>
        <v>OFF</v>
      </c>
      <c r="Q12" s="72" t="str">
        <f>IF(Schedule!R13=0,Schedule!$AQ$3,IF(Schedule!R13=1,Schedule!$AQ$4,IF(Schedule!R13=2,Schedule!$AQ$5,IF(Schedule!R13=3,Schedule!$AQ$6,IF(Schedule!R13=4,Schedule!$AQ$7,IF(Schedule!R13=5,Schedule!$AQ$8,IF(Schedule!R13=6,Schedule!$AQ$9,IF(Schedule!R13=7,Schedule!$AQ$10,IF(Schedule!R13=8,Schedule!#REF!,IF(Schedule!R13=9,Schedule!$AQ$12,IF(Schedule!R13=10,Schedule!$AQ$13,IF(Schedule!R13=11,Schedule!#REF!,IF(Schedule!R13=12,Schedule!#REF!,IF(Schedule!R13=13,Schedule!$AQ$14,IF(Schedule!R13=14,Schedule!#REF!,IF(Schedule!R13=15,Schedule!$AQ$15,IF(Schedule!R13=16,Schedule!#REF!,IF(Schedule!R13=17,Schedule!#REF!,IF(Schedule!R13=18,Schedule!$AQ$16,IF(Schedule!R13=19,Schedule!$AQ$17,IF(Schedule!R13=20,Schedule!$AQ$18,IF(Schedule!R13=21,Schedule!#REF!))))))))))))))))))))))</f>
        <v>OFF</v>
      </c>
      <c r="R12" s="72" t="str">
        <f>IF(Schedule!S13=0,Schedule!$AQ$3,IF(Schedule!S13=1,Schedule!$AQ$4,IF(Schedule!S13=2,Schedule!$AQ$5,IF(Schedule!S13=3,Schedule!$AQ$6,IF(Schedule!S13=4,Schedule!$AQ$7,IF(Schedule!S13=5,Schedule!$AQ$8,IF(Schedule!S13=6,Schedule!$AQ$9,IF(Schedule!S13=7,Schedule!$AQ$10,IF(Schedule!S13=8,Schedule!#REF!,IF(Schedule!S13=9,Schedule!$AQ$12,IF(Schedule!S13=10,Schedule!$AQ$13,IF(Schedule!S13=11,Schedule!#REF!,IF(Schedule!S13=12,Schedule!#REF!,IF(Schedule!S13=13,Schedule!$AQ$14,IF(Schedule!S13=14,Schedule!#REF!,IF(Schedule!S13=15,Schedule!$AQ$15,IF(Schedule!S13=16,Schedule!#REF!,IF(Schedule!S13=17,Schedule!#REF!,IF(Schedule!S13=18,Schedule!$AQ$16,IF(Schedule!S13=19,Schedule!$AQ$17,IF(Schedule!S13=20,Schedule!$AQ$18,IF(Schedule!S13=21,Schedule!#REF!))))))))))))))))))))))</f>
        <v xml:space="preserve">VC(1)/ Booth </v>
      </c>
      <c r="S12" s="72" t="str">
        <f>IF(Schedule!T13=0,Schedule!$AQ$3,IF(Schedule!T13=1,Schedule!$AQ$4,IF(Schedule!T13=2,Schedule!$AQ$5,IF(Schedule!T13=3,Schedule!$AQ$6,IF(Schedule!T13=4,Schedule!$AQ$7,IF(Schedule!T13=5,Schedule!$AQ$8,IF(Schedule!T13=6,Schedule!$AQ$9,IF(Schedule!T13=7,Schedule!$AQ$10,IF(Schedule!T13=8,Schedule!#REF!,IF(Schedule!T13=9,Schedule!$AQ$12,IF(Schedule!T13=10,Schedule!$AQ$13,IF(Schedule!T13=11,Schedule!#REF!,IF(Schedule!T13=12,Schedule!#REF!,IF(Schedule!T13=13,Schedule!$AQ$14,IF(Schedule!T13=14,Schedule!#REF!,IF(Schedule!T13=15,Schedule!$AQ$15,IF(Schedule!T13=16,Schedule!#REF!,IF(Schedule!T13=17,Schedule!#REF!,IF(Schedule!T13=18,Schedule!$AQ$16,IF(Schedule!T13=19,Schedule!$AQ$17,IF(Schedule!T13=20,Schedule!$AQ$18,IF(Schedule!T13=21,Schedule!#REF!))))))))))))))))))))))</f>
        <v>Stop 7(2)</v>
      </c>
      <c r="T12" s="72" t="str">
        <f>IF(Schedule!U13=0,Schedule!$AQ$3,IF(Schedule!U13=1,Schedule!$AQ$4,IF(Schedule!U13=2,Schedule!$AQ$5,IF(Schedule!U13=3,Schedule!$AQ$6,IF(Schedule!U13=4,Schedule!$AQ$7,IF(Schedule!U13=5,Schedule!$AQ$8,IF(Schedule!U13=6,Schedule!$AQ$9,IF(Schedule!U13=7,Schedule!$AQ$10,IF(Schedule!U13=8,Schedule!#REF!,IF(Schedule!U13=9,Schedule!$AQ$12,IF(Schedule!U13=10,Schedule!$AQ$13,IF(Schedule!U13=11,Schedule!#REF!,IF(Schedule!U13=12,Schedule!#REF!,IF(Schedule!U13=13,Schedule!$AQ$14,IF(Schedule!U13=14,Schedule!#REF!,IF(Schedule!U13=15,Schedule!$AQ$15,IF(Schedule!U13=16,Schedule!#REF!,IF(Schedule!U13=17,Schedule!#REF!,IF(Schedule!U13=18,Schedule!$AQ$16,IF(Schedule!U13=19,Schedule!$AQ$17,IF(Schedule!U13=20,Schedule!$AQ$18,IF(Schedule!U13=21,Schedule!#REF!))))))))))))))))))))))</f>
        <v>OFF</v>
      </c>
      <c r="U12" s="72" t="str">
        <f>IF(Schedule!V13=0,Schedule!$AQ$3,IF(Schedule!V13=1,Schedule!$AQ$4,IF(Schedule!V13=2,Schedule!$AQ$5,IF(Schedule!V13=3,Schedule!$AQ$6,IF(Schedule!V13=4,Schedule!$AQ$7,IF(Schedule!V13=5,Schedule!$AQ$8,IF(Schedule!V13=6,Schedule!$AQ$9,IF(Schedule!V13=7,Schedule!$AQ$10,IF(Schedule!V13=8,Schedule!#REF!,IF(Schedule!V13=9,Schedule!$AQ$12,IF(Schedule!V13=10,Schedule!$AQ$13,IF(Schedule!V13=11,Schedule!#REF!,IF(Schedule!V13=12,Schedule!#REF!,IF(Schedule!V13=13,Schedule!$AQ$14,IF(Schedule!V13=14,Schedule!#REF!,IF(Schedule!V13=15,Schedule!$AQ$15,IF(Schedule!V13=16,Schedule!#REF!,IF(Schedule!V13=17,Schedule!#REF!,IF(Schedule!V13=18,Schedule!$AQ$16,IF(Schedule!V13=19,Schedule!$AQ$17,IF(Schedule!V13=20,Schedule!$AQ$18,IF(Schedule!V13=21,Schedule!#REF!))))))))))))))))))))))</f>
        <v xml:space="preserve">Booth(1)/ VC </v>
      </c>
      <c r="V12" s="72" t="str">
        <f>IF(Schedule!W13=0,Schedule!$AQ$3,IF(Schedule!W13=1,Schedule!$AQ$4,IF(Schedule!W13=2,Schedule!$AQ$5,IF(Schedule!W13=3,Schedule!$AQ$6,IF(Schedule!W13=4,Schedule!$AQ$7,IF(Schedule!W13=5,Schedule!$AQ$8,IF(Schedule!W13=6,Schedule!$AQ$9,IF(Schedule!W13=7,Schedule!$AQ$10,IF(Schedule!W13=8,Schedule!#REF!,IF(Schedule!W13=9,Schedule!$AQ$12,IF(Schedule!W13=10,Schedule!$AQ$13,IF(Schedule!W13=11,Schedule!#REF!,IF(Schedule!W13=12,Schedule!#REF!,IF(Schedule!W13=13,Schedule!$AQ$14,IF(Schedule!W13=14,Schedule!#REF!,IF(Schedule!W13=15,Schedule!$AQ$15,IF(Schedule!W13=16,Schedule!#REF!,IF(Schedule!W13=17,Schedule!#REF!,IF(Schedule!W13=18,Schedule!$AQ$16,IF(Schedule!W13=19,Schedule!$AQ$17,IF(Schedule!W13=20,Schedule!$AQ$18,IF(Schedule!W13=21,Schedule!#REF!))))))))))))))))))))))</f>
        <v>Stop 14(2)</v>
      </c>
      <c r="W12" s="72" t="str">
        <f>IF(Schedule!X13=0,Schedule!$AQ$3,IF(Schedule!X13=1,Schedule!$AQ$4,IF(Schedule!X13=2,Schedule!$AQ$5,IF(Schedule!X13=3,Schedule!$AQ$6,IF(Schedule!X13=4,Schedule!$AQ$7,IF(Schedule!X13=5,Schedule!$AQ$8,IF(Schedule!X13=6,Schedule!$AQ$9,IF(Schedule!X13=7,Schedule!$AQ$10,IF(Schedule!X13=8,Schedule!#REF!,IF(Schedule!X13=9,Schedule!$AQ$12,IF(Schedule!X13=10,Schedule!$AQ$13,IF(Schedule!X13=11,Schedule!#REF!,IF(Schedule!X13=12,Schedule!#REF!,IF(Schedule!X13=13,Schedule!$AQ$14,IF(Schedule!X13=14,Schedule!#REF!,IF(Schedule!X13=15,Schedule!$AQ$15,IF(Schedule!X13=16,Schedule!#REF!,IF(Schedule!X13=17,Schedule!#REF!,IF(Schedule!X13=18,Schedule!$AQ$16,IF(Schedule!X13=19,Schedule!$AQ$17,IF(Schedule!X13=20,Schedule!$AQ$18,IF(Schedule!X13=21,Schedule!#REF!))))))))))))))))))))))</f>
        <v>OFF</v>
      </c>
      <c r="X12" s="72" t="str">
        <f>IF(Schedule!Y13=0,Schedule!$AQ$3,IF(Schedule!Y13=1,Schedule!$AQ$4,IF(Schedule!Y13=2,Schedule!$AQ$5,IF(Schedule!Y13=3,Schedule!$AQ$6,IF(Schedule!Y13=4,Schedule!$AQ$7,IF(Schedule!Y13=5,Schedule!$AQ$8,IF(Schedule!Y13=6,Schedule!$AQ$9,IF(Schedule!Y13=7,Schedule!$AQ$10,IF(Schedule!Y13=8,Schedule!#REF!,IF(Schedule!Y13=9,Schedule!$AQ$12,IF(Schedule!Y13=10,Schedule!$AQ$13,IF(Schedule!Y13=11,Schedule!#REF!,IF(Schedule!Y13=12,Schedule!#REF!,IF(Schedule!Y13=13,Schedule!$AQ$14,IF(Schedule!Y13=14,Schedule!#REF!,IF(Schedule!Y13=15,Schedule!$AQ$15,IF(Schedule!Y13=16,Schedule!#REF!,IF(Schedule!Y13=17,Schedule!#REF!,IF(Schedule!Y13=18,Schedule!$AQ$16,IF(Schedule!Y13=19,Schedule!$AQ$17,IF(Schedule!Y13=20,Schedule!$AQ$18,IF(Schedule!Y13=21,Schedule!#REF!))))))))))))))))))))))</f>
        <v>OFF</v>
      </c>
      <c r="Y12" s="72" t="str">
        <f>IF(Schedule!Z13=0,Schedule!$AQ$3,IF(Schedule!Z13=1,Schedule!$AQ$4,IF(Schedule!Z13=2,Schedule!$AQ$5,IF(Schedule!Z13=3,Schedule!$AQ$6,IF(Schedule!Z13=4,Schedule!$AQ$7,IF(Schedule!Z13=5,Schedule!$AQ$8,IF(Schedule!Z13=6,Schedule!$AQ$9,IF(Schedule!Z13=7,Schedule!$AQ$10,IF(Schedule!Z13=8,Schedule!#REF!,IF(Schedule!Z13=9,Schedule!$AQ$12,IF(Schedule!Z13=10,Schedule!$AQ$13,IF(Schedule!Z13=11,Schedule!#REF!,IF(Schedule!Z13=12,Schedule!#REF!,IF(Schedule!Z13=13,Schedule!$AQ$14,IF(Schedule!Z13=14,Schedule!#REF!,IF(Schedule!Z13=15,Schedule!$AQ$15,IF(Schedule!Z13=16,Schedule!#REF!,IF(Schedule!Z13=17,Schedule!#REF!,IF(Schedule!Z13=18,Schedule!$AQ$16,IF(Schedule!Z13=19,Schedule!$AQ$17,IF(Schedule!Z13=20,Schedule!$AQ$18,IF(Schedule!Z13=21,Schedule!#REF!))))))))))))))))))))))</f>
        <v xml:space="preserve">VC(2)/ Booth  </v>
      </c>
      <c r="Z12" s="72" t="str">
        <f>IF(Schedule!AA13=0,Schedule!$AQ$3,IF(Schedule!AA13=1,Schedule!$AQ$4,IF(Schedule!AA13=2,Schedule!$AQ$5,IF(Schedule!AA13=3,Schedule!$AQ$6,IF(Schedule!AA13=4,Schedule!$AQ$7,IF(Schedule!AA13=5,Schedule!$AQ$8,IF(Schedule!AA13=6,Schedule!$AQ$9,IF(Schedule!AA13=7,Schedule!$AQ$10,IF(Schedule!AA13=8,Schedule!#REF!,IF(Schedule!AA13=9,Schedule!$AQ$12,IF(Schedule!AA13=10,Schedule!$AQ$13,IF(Schedule!AA13=11,Schedule!#REF!,IF(Schedule!AA13=12,Schedule!#REF!,IF(Schedule!AA13=13,Schedule!$AQ$14,IF(Schedule!AA13=14,Schedule!#REF!,IF(Schedule!AA13=15,Schedule!$AQ$15,IF(Schedule!AA13=16,Schedule!#REF!,IF(Schedule!AA13=17,Schedule!#REF!,IF(Schedule!AA13=18,Schedule!$AQ$16,IF(Schedule!AA13=19,Schedule!$AQ$17,IF(Schedule!AA13=20,Schedule!$AQ$18,IF(Schedule!AA13=21,Schedule!#REF!))))))))))))))))))))))</f>
        <v>Stop 14(2)</v>
      </c>
      <c r="AA12" s="72" t="str">
        <f>IF(Schedule!AB13=0,Schedule!$AQ$3,IF(Schedule!AB13=1,Schedule!$AQ$4,IF(Schedule!AB13=2,Schedule!$AQ$5,IF(Schedule!AB13=3,Schedule!$AQ$6,IF(Schedule!AB13=4,Schedule!$AQ$7,IF(Schedule!AB13=5,Schedule!$AQ$8,IF(Schedule!AB13=6,Schedule!$AQ$9,IF(Schedule!AB13=7,Schedule!$AQ$10,IF(Schedule!AB13=8,Schedule!#REF!,IF(Schedule!AB13=9,Schedule!$AQ$12,IF(Schedule!AB13=10,Schedule!$AQ$13,IF(Schedule!AB13=11,Schedule!#REF!,IF(Schedule!AB13=12,Schedule!#REF!,IF(Schedule!AB13=13,Schedule!$AQ$14,IF(Schedule!AB13=14,Schedule!#REF!,IF(Schedule!AB13=15,Schedule!$AQ$15,IF(Schedule!AB13=16,Schedule!#REF!,IF(Schedule!AB13=17,Schedule!#REF!,IF(Schedule!AB13=18,Schedule!$AQ$16,IF(Schedule!AB13=19,Schedule!$AQ$17,IF(Schedule!AB13=20,Schedule!$AQ$18,IF(Schedule!AB13=21,Schedule!#REF!))))))))))))))))))))))</f>
        <v>OFF</v>
      </c>
      <c r="AB12" s="72" t="str">
        <f>IF(Schedule!AC13=0,Schedule!$AQ$3,IF(Schedule!AC13=1,Schedule!$AQ$4,IF(Schedule!AC13=2,Schedule!$AQ$5,IF(Schedule!AC13=3,Schedule!$AQ$6,IF(Schedule!AC13=4,Schedule!$AQ$7,IF(Schedule!AC13=5,Schedule!$AQ$8,IF(Schedule!AC13=6,Schedule!$AQ$9,IF(Schedule!AC13=7,Schedule!$AQ$10,IF(Schedule!AC13=8,Schedule!#REF!,IF(Schedule!AC13=9,Schedule!$AQ$12,IF(Schedule!AC13=10,Schedule!$AQ$13,IF(Schedule!AC13=11,Schedule!#REF!,IF(Schedule!AC13=12,Schedule!#REF!,IF(Schedule!AC13=13,Schedule!$AQ$14,IF(Schedule!AC13=14,Schedule!#REF!,IF(Schedule!AC13=15,Schedule!$AQ$15,IF(Schedule!AC13=16,Schedule!#REF!,IF(Schedule!AC13=17,Schedule!#REF!,IF(Schedule!AC13=18,Schedule!$AQ$16,IF(Schedule!AC13=19,Schedule!$AQ$17,IF(Schedule!AC13=20,Schedule!$AQ$18,IF(Schedule!AC13=21,Schedule!#REF!))))))))))))))))))))))</f>
        <v>OFF</v>
      </c>
      <c r="AC12" s="72" t="str">
        <f>IF(Schedule!AD13=0,Schedule!$AQ$3,IF(Schedule!AD13=1,Schedule!$AQ$4,IF(Schedule!AD13=2,Schedule!$AQ$5,IF(Schedule!AD13=3,Schedule!$AQ$6,IF(Schedule!AD13=4,Schedule!$AQ$7,IF(Schedule!AD13=5,Schedule!$AQ$8,IF(Schedule!AD13=6,Schedule!$AQ$9,IF(Schedule!AD13=7,Schedule!$AQ$10,IF(Schedule!AD13=8,Schedule!#REF!,IF(Schedule!AD13=9,Schedule!$AQ$12,IF(Schedule!AD13=10,Schedule!$AQ$13,IF(Schedule!AD13=11,Schedule!#REF!,IF(Schedule!AD13=12,Schedule!#REF!,IF(Schedule!AD13=13,Schedule!$AQ$14,IF(Schedule!AD13=14,Schedule!#REF!,IF(Schedule!AD13=15,Schedule!$AQ$15,IF(Schedule!AD13=16,Schedule!#REF!,IF(Schedule!AD13=17,Schedule!#REF!,IF(Schedule!AD13=18,Schedule!$AQ$16,IF(Schedule!AD13=19,Schedule!$AQ$17,IF(Schedule!AD13=20,Schedule!$AQ$18,IF(Schedule!AD13=21,Schedule!#REF!))))))))))))))))))))))</f>
        <v xml:space="preserve">VC(1)/ Booth </v>
      </c>
      <c r="AD12" s="72" t="str">
        <f>IF(Schedule!AE13=0,Schedule!$AQ$3,IF(Schedule!AE13=1,Schedule!$AQ$4,IF(Schedule!AE13=2,Schedule!$AQ$5,IF(Schedule!AE13=3,Schedule!$AQ$6,IF(Schedule!AE13=4,Schedule!$AQ$7,IF(Schedule!AE13=5,Schedule!$AQ$8,IF(Schedule!AE13=6,Schedule!$AQ$9,IF(Schedule!AE13=7,Schedule!$AQ$10,IF(Schedule!AE13=8,Schedule!#REF!,IF(Schedule!AE13=9,Schedule!$AQ$12,IF(Schedule!AE13=10,Schedule!$AQ$13,IF(Schedule!AE13=11,Schedule!#REF!,IF(Schedule!AE13=12,Schedule!#REF!,IF(Schedule!AE13=13,Schedule!$AQ$14,IF(Schedule!AE13=14,Schedule!#REF!,IF(Schedule!AE13=15,Schedule!$AQ$15,IF(Schedule!AE13=16,Schedule!#REF!,IF(Schedule!AE13=17,Schedule!#REF!,IF(Schedule!AE13=18,Schedule!$AQ$16,IF(Schedule!AE13=19,Schedule!$AQ$17,IF(Schedule!AE13=20,Schedule!$AQ$18,IF(Schedule!AE13=21,Schedule!#REF!))))))))))))))))))))))</f>
        <v xml:space="preserve">Booth(2)/ VC </v>
      </c>
      <c r="AE12" s="72" t="str">
        <f>IF(Schedule!AF13=0,Schedule!$AQ$3,IF(Schedule!AF13=1,Schedule!$AQ$4,IF(Schedule!AF13=2,Schedule!$AQ$5,IF(Schedule!AF13=3,Schedule!$AQ$6,IF(Schedule!AF13=4,Schedule!$AQ$7,IF(Schedule!AF13=5,Schedule!$AQ$8,IF(Schedule!AF13=6,Schedule!$AQ$9,IF(Schedule!AF13=7,Schedule!$AQ$10,IF(Schedule!AF13=8,Schedule!#REF!,IF(Schedule!AF13=9,Schedule!$AQ$12,IF(Schedule!AF13=10,Schedule!$AQ$13,IF(Schedule!AF13=11,Schedule!#REF!,IF(Schedule!AF13=12,Schedule!#REF!,IF(Schedule!AF13=13,Schedule!$AQ$14,IF(Schedule!AF13=14,Schedule!#REF!,IF(Schedule!AF13=15,Schedule!$AQ$15,IF(Schedule!AF13=16,Schedule!#REF!,IF(Schedule!AF13=17,Schedule!#REF!,IF(Schedule!AF13=18,Schedule!$AQ$16,IF(Schedule!AF13=19,Schedule!$AQ$17,IF(Schedule!AF13=20,Schedule!$AQ$18,IF(Schedule!AF13=21,Schedule!#REF!))))))))))))))))))))))</f>
        <v>Stop 14(2)</v>
      </c>
      <c r="AF12" s="72" t="str">
        <f>IF(Schedule!AG13=0,Schedule!$AQ$3,IF(Schedule!AG13=1,Schedule!$AQ$4,IF(Schedule!AG13=2,Schedule!$AQ$5,IF(Schedule!AG13=3,Schedule!$AQ$6,IF(Schedule!AG13=4,Schedule!$AQ$7,IF(Schedule!AG13=5,Schedule!$AQ$8,IF(Schedule!AG13=6,Schedule!$AQ$9,IF(Schedule!AG13=7,Schedule!$AQ$10,IF(Schedule!AG13=8,Schedule!#REF!,IF(Schedule!AG13=9,Schedule!$AQ$12,IF(Schedule!AG13=10,Schedule!$AQ$13,IF(Schedule!AG13=11,Schedule!#REF!,IF(Schedule!AG13=12,Schedule!#REF!,IF(Schedule!AG13=13,Schedule!$AQ$14,IF(Schedule!AG13=14,Schedule!#REF!,IF(Schedule!AG13=15,Schedule!$AQ$15,IF(Schedule!AG13=16,Schedule!#REF!,IF(Schedule!AG13=17,Schedule!#REF!,IF(Schedule!AG13=18,Schedule!$AQ$16,IF(Schedule!AG13=19,Schedule!$AQ$17,IF(Schedule!AG13=20,Schedule!$AQ$18,IF(Schedule!AG13=21,Schedule!#REF!))))))))))))))))))))))</f>
        <v>OFF</v>
      </c>
      <c r="AG12" s="72" t="str">
        <f>IF(Schedule!AH13=0,Schedule!$AQ$3,IF(Schedule!AH13=1,Schedule!$AQ$4,IF(Schedule!AH13=2,Schedule!$AQ$5,IF(Schedule!AH13=3,Schedule!$AQ$6,IF(Schedule!AH13=4,Schedule!$AQ$7,IF(Schedule!AH13=5,Schedule!$AQ$8,IF(Schedule!AH13=6,Schedule!$AQ$9,IF(Schedule!AH13=7,Schedule!$AQ$10,IF(Schedule!AH13=8,Schedule!#REF!,IF(Schedule!AH13=9,Schedule!$AQ$12,IF(Schedule!AH13=10,Schedule!$AQ$13,IF(Schedule!AH13=11,Schedule!#REF!,IF(Schedule!AH13=12,Schedule!#REF!,IF(Schedule!AH13=13,Schedule!$AQ$14,IF(Schedule!AH13=14,Schedule!#REF!,IF(Schedule!AH13=15,Schedule!$AQ$15,IF(Schedule!AH13=16,Schedule!#REF!,IF(Schedule!AH13=17,Schedule!#REF!,IF(Schedule!AH13=18,Schedule!$AQ$16,IF(Schedule!AH13=19,Schedule!$AQ$17,IF(Schedule!AH13=20,Schedule!$AQ$18,IF(Schedule!AH13=21,Schedule!#REF!))))))))))))))))))))))</f>
        <v>OFF</v>
      </c>
      <c r="AH12" s="72" t="str">
        <f>IF(Schedule!AI13=0,Schedule!$AQ$3,IF(Schedule!AI13=1,Schedule!$AQ$4,IF(Schedule!AI13=2,Schedule!$AQ$5,IF(Schedule!AI13=3,Schedule!$AQ$6,IF(Schedule!AI13=4,Schedule!$AQ$7,IF(Schedule!AI13=5,Schedule!$AQ$8,IF(Schedule!AI13=6,Schedule!$AQ$9,IF(Schedule!AI13=7,Schedule!$AQ$10,IF(Schedule!AI13=8,Schedule!#REF!,IF(Schedule!AI13=9,Schedule!$AQ$12,IF(Schedule!AI13=10,Schedule!$AQ$13,IF(Schedule!AI13=11,Schedule!#REF!,IF(Schedule!AI13=12,Schedule!#REF!,IF(Schedule!AI13=13,Schedule!$AQ$14,IF(Schedule!AI13=14,Schedule!#REF!,IF(Schedule!AI13=15,Schedule!$AQ$15,IF(Schedule!AI13=16,Schedule!#REF!,IF(Schedule!AI13=17,Schedule!#REF!,IF(Schedule!AI13=18,Schedule!$AQ$16,IF(Schedule!AI13=19,Schedule!$AQ$17,IF(Schedule!AI13=20,Schedule!$AQ$18,IF(Schedule!AI13=21,Schedule!#REF!))))))))))))))))))))))</f>
        <v xml:space="preserve">Booth(1)/ VC </v>
      </c>
      <c r="AI12" s="72" t="str">
        <f>IF(Schedule!AJ13=0,Schedule!$AQ$3,IF(Schedule!AJ13=1,Schedule!$AQ$4,IF(Schedule!AJ13=2,Schedule!$AQ$5,IF(Schedule!AJ13=3,Schedule!$AQ$6,IF(Schedule!AJ13=4,Schedule!$AQ$7,IF(Schedule!AJ13=5,Schedule!$AQ$8,IF(Schedule!AJ13=6,Schedule!$AQ$9,IF(Schedule!AJ13=7,Schedule!$AQ$10,IF(Schedule!AJ13=8,Schedule!#REF!,IF(Schedule!AJ13=9,Schedule!$AQ$12,IF(Schedule!AJ13=10,Schedule!$AQ$13,IF(Schedule!AJ13=11,Schedule!#REF!,IF(Schedule!AJ13=12,Schedule!#REF!,IF(Schedule!AJ13=13,Schedule!$AQ$14,IF(Schedule!AJ13=14,Schedule!#REF!,IF(Schedule!AJ13=15,Schedule!$AQ$15,IF(Schedule!AJ13=16,Schedule!#REF!,IF(Schedule!AJ13=17,Schedule!#REF!,IF(Schedule!AJ13=18,Schedule!$AQ$16,IF(Schedule!AJ13=19,Schedule!$AQ$17,IF(Schedule!AJ13=20,Schedule!$AQ$18,IF(Schedule!AJ13=21,Schedule!#REF!))))))))))))))))))))))</f>
        <v>Stop 7(2)</v>
      </c>
      <c r="AJ12" s="72" t="str">
        <f>IF(Schedule!AK13=0,Schedule!$AQ$3,IF(Schedule!AK13=1,Schedule!$AQ$4,IF(Schedule!AK13=2,Schedule!$AQ$5,IF(Schedule!AK13=3,Schedule!$AQ$6,IF(Schedule!AK13=4,Schedule!$AQ$7,IF(Schedule!AK13=5,Schedule!$AQ$8,IF(Schedule!AK13=6,Schedule!$AQ$9,IF(Schedule!AK13=7,Schedule!$AQ$10,IF(Schedule!AK13=8,Schedule!#REF!,IF(Schedule!AK13=9,Schedule!$AQ$12,IF(Schedule!AK13=10,Schedule!$AQ$13,IF(Schedule!AK13=11,Schedule!#REF!,IF(Schedule!AK13=12,Schedule!#REF!,IF(Schedule!AK13=13,Schedule!$AQ$14,IF(Schedule!AK13=14,Schedule!#REF!,IF(Schedule!AK13=15,Schedule!$AQ$15,IF(Schedule!AK13=16,Schedule!#REF!,IF(Schedule!AK13=17,Schedule!#REF!,IF(Schedule!AK13=18,Schedule!$AQ$16,IF(Schedule!AK13=19,Schedule!$AQ$17,IF(Schedule!AK13=20,Schedule!$AQ$18,IF(Schedule!AK13=21,Schedule!#REF!))))))))))))))))))))))</f>
        <v>OFF</v>
      </c>
      <c r="AK12" s="72" t="str">
        <f>IF(Schedule!AL13=0,Schedule!$AQ$3,IF(Schedule!AL13=1,Schedule!$AQ$4,IF(Schedule!AL13=2,Schedule!$AQ$5,IF(Schedule!AL13=3,Schedule!$AQ$6,IF(Schedule!AL13=4,Schedule!$AQ$7,IF(Schedule!AL13=5,Schedule!$AQ$8,IF(Schedule!AL13=6,Schedule!$AQ$9,IF(Schedule!AL13=7,Schedule!$AQ$10,IF(Schedule!AL13=8,Schedule!#REF!,IF(Schedule!AL13=9,Schedule!$AQ$12,IF(Schedule!AL13=10,Schedule!$AQ$13,IF(Schedule!AL13=11,Schedule!#REF!,IF(Schedule!AL13=12,Schedule!#REF!,IF(Schedule!AL13=13,Schedule!$AQ$14,IF(Schedule!AL13=14,Schedule!#REF!,IF(Schedule!AL13=15,Schedule!$AQ$15,IF(Schedule!AL13=16,Schedule!#REF!,IF(Schedule!AL13=17,Schedule!#REF!,IF(Schedule!AL13=18,Schedule!$AQ$16,IF(Schedule!AL13=19,Schedule!$AQ$17,IF(Schedule!AL13=20,Schedule!$AQ$18,IF(Schedule!AL13=21,Schedule!#REF!))))))))))))))))))))))</f>
        <v>Art(1)/ Stop 7</v>
      </c>
    </row>
    <row r="13" spans="1:37" ht="22" customHeight="1" x14ac:dyDescent="0.2">
      <c r="A13" s="67" t="str">
        <f>Schedule!D10</f>
        <v>Doe</v>
      </c>
      <c r="B13" s="67" t="str">
        <f>Schedule!C10</f>
        <v>Jane</v>
      </c>
      <c r="C13" s="54"/>
      <c r="D13" s="54"/>
      <c r="E13" s="54"/>
      <c r="F13" s="64"/>
      <c r="G13" s="72" t="str">
        <f>IF(Schedule!E10=0,Schedule!$AQ$3,IF(Schedule!E10=1,Schedule!$AQ$4,IF(Schedule!E10=2,Schedule!$AQ$5,IF(Schedule!E10=3,Schedule!$AQ$6,IF(Schedule!E10=4,Schedule!$AQ$7,IF(Schedule!E10=5,Schedule!$AQ$8,IF(Schedule!E10=6,Schedule!$AQ$9,IF(Schedule!E10=7,Schedule!$AQ$10,IF(Schedule!E10=8,Schedule!#REF!,IF(Schedule!E10=9,Schedule!$AQ$12,IF(Schedule!E10=10,Schedule!$AQ$13,IF(Schedule!E10=11,Schedule!#REF!,IF(Schedule!E10=12,Schedule!#REF!,IF(Schedule!E10=13,Schedule!$AQ$14,IF(Schedule!E10=14,Schedule!#REF!,IF(Schedule!E10=15,Schedule!$AQ$15,IF(Schedule!E10=16,Schedule!#REF!,IF(Schedule!E10=17,Schedule!#REF!,IF(Schedule!E10=18,Schedule!$AQ$16,IF(Schedule!E10=19,Schedule!$AQ$17,IF(Schedule!E10=20,Schedule!$AQ$18,IF(Schedule!E10=21,Schedule!#REF!))))))))))))))))))))))</f>
        <v xml:space="preserve">VC(1)/ Booth </v>
      </c>
      <c r="H13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3" s="72" t="str">
        <f>IF(Schedule!F11=0,Schedule!$AQ$3,IF(Schedule!F11=1,Schedule!$AQ$4,IF(Schedule!F11=2,Schedule!$AQ$5,IF(Schedule!F11=3,Schedule!$AQ$6,IF(Schedule!F11=4,Schedule!$AQ$7,IF(Schedule!F11=5,Schedule!$AQ$8,IF(Schedule!F11=6,Schedule!$AQ$9,IF(Schedule!F11=7,Schedule!$AQ$10,IF(Schedule!F11=8,Schedule!#REF!,IF(Schedule!F11=9,Schedule!$AQ$12,IF(Schedule!F11=10,Schedule!$AQ$13,IF(Schedule!F11=11,Schedule!#REF!,IF(Schedule!F11=12,Schedule!#REF!,IF(Schedule!F11=13,Schedule!$AQ$14,IF(Schedule!F11=14,Schedule!#REF!,IF(Schedule!F11=15,Schedule!$AQ$15,IF(Schedule!F11=16,Schedule!#REF!,IF(Schedule!F11=17,Schedule!#REF!,IF(Schedule!F11=18,Schedule!$AQ$16,IF(Schedule!F11=19,Schedule!$AQ$17,IF(Schedule!F11=20,Schedule!$AQ$18,IF(Schedule!F11=21,Schedule!#REF!))))))))))))))))))))))</f>
        <v>OFF</v>
      </c>
      <c r="J13" s="72" t="str">
        <f>IF(Schedule!J13=0,Schedule!$AQ$3,IF(Schedule!J13=1,Schedule!$AQ$4,IF(Schedule!J13=2,Schedule!$AQ$5,IF(Schedule!J13=3,Schedule!$AQ$6,IF(Schedule!J13=4,Schedule!$AQ$7,IF(Schedule!J13=5,Schedule!$AQ$8,IF(Schedule!J13=6,Schedule!$AQ$9,IF(Schedule!J13=7,Schedule!$AQ$10,IF(Schedule!J13=8,Schedule!#REF!,IF(Schedule!J13=9,Schedule!$AQ$12,IF(Schedule!J13=10,Schedule!$AQ$13,IF(Schedule!J13=11,Schedule!#REF!,IF(Schedule!J13=12,Schedule!#REF!,IF(Schedule!J13=13,Schedule!$AQ$14,IF(Schedule!J13=14,Schedule!#REF!,IF(Schedule!J13=15,Schedule!$AQ$15,IF(Schedule!J13=16,Schedule!#REF!,IF(Schedule!J13=17,Schedule!#REF!,IF(Schedule!J13=18,Schedule!$AQ$16,IF(Schedule!J13=19,Schedule!$AQ$17,IF(Schedule!J13=20,Schedule!$AQ$18,IF(Schedule!J13=21,Schedule!#REF!))))))))))))))))))))))</f>
        <v>OFF</v>
      </c>
      <c r="K13" s="72" t="str">
        <f>IF(Schedule!K10=0,Schedule!$AQ$3,IF(Schedule!K10=1,Schedule!$AQ$4,IF(Schedule!K10=2,Schedule!$AQ$5,IF(Schedule!K10=3,Schedule!$AQ$6,IF(Schedule!K10=4,Schedule!$AQ$7,IF(Schedule!K10=5,Schedule!$AQ$8,IF(Schedule!K10=6,Schedule!$AQ$9,IF(Schedule!K10=7,Schedule!$AQ$10,IF(Schedule!K10=8,Schedule!#REF!,IF(Schedule!K10=9,Schedule!$AQ$12,IF(Schedule!K10=10,Schedule!$AQ$13,IF(Schedule!K10=11,Schedule!#REF!,IF(Schedule!K10=12,Schedule!#REF!,IF(Schedule!K10=13,Schedule!$AQ$14,IF(Schedule!K10=14,Schedule!#REF!,IF(Schedule!K10=15,Schedule!$AQ$15,IF(Schedule!K10=16,Schedule!#REF!,IF(Schedule!K10=17,Schedule!#REF!,IF(Schedule!K10=18,Schedule!$AQ$16,IF(Schedule!K10=19,Schedule!$AQ$17,IF(Schedule!K10=20,Schedule!$AQ$18,IF(Schedule!K10=21,Schedule!#REF!))))))))))))))))))))))</f>
        <v>Stop 7(2)/ 5&amp;9</v>
      </c>
      <c r="L13" s="72" t="str">
        <f>IF(Schedule!M10=0,Schedule!$AQ$3,IF(Schedule!M10=1,Schedule!$AQ$4,IF(Schedule!M10=2,Schedule!$AQ$5,IF(Schedule!M10=3,Schedule!$AQ$6,IF(Schedule!M10=4,Schedule!$AQ$7,IF(Schedule!M10=5,Schedule!$AQ$8,IF(Schedule!M10=6,Schedule!$AQ$9,IF(Schedule!M10=7,Schedule!$AQ$10,IF(Schedule!M10=8,Schedule!#REF!,IF(Schedule!M10=9,Schedule!$AQ$12,IF(Schedule!M10=10,Schedule!$AQ$13,IF(Schedule!M10=11,Schedule!#REF!,IF(Schedule!M10=12,Schedule!#REF!,IF(Schedule!M10=13,Schedule!$AQ$14,IF(Schedule!M10=14,Schedule!#REF!,IF(Schedule!M10=15,Schedule!$AQ$15,IF(Schedule!M10=16,Schedule!#REF!,IF(Schedule!M10=17,Schedule!#REF!,IF(Schedule!M10=18,Schedule!$AQ$16,IF(Schedule!M10=19,Schedule!$AQ$17,IF(Schedule!M10=20,Schedule!$AQ$18,IF(Schedule!M10=21,Schedule!#REF!))))))))))))))))))))))</f>
        <v>OFF</v>
      </c>
      <c r="M13" s="72" t="str">
        <f>IF(Schedule!N10=0,Schedule!$AQ$3,IF(Schedule!N10=1,Schedule!$AQ$4,IF(Schedule!N10=2,Schedule!$AQ$5,IF(Schedule!N10=3,Schedule!$AQ$6,IF(Schedule!N10=4,Schedule!$AQ$7,IF(Schedule!N10=5,Schedule!$AQ$8,IF(Schedule!N10=6,Schedule!$AQ$9,IF(Schedule!N10=7,Schedule!$AQ$10,IF(Schedule!N10=8,Schedule!#REF!,IF(Schedule!N10=9,Schedule!$AQ$12,IF(Schedule!N10=10,Schedule!$AQ$13,IF(Schedule!N10=11,Schedule!#REF!,IF(Schedule!N10=12,Schedule!#REF!,IF(Schedule!N10=13,Schedule!$AQ$14,IF(Schedule!N10=14,Schedule!#REF!,IF(Schedule!N10=15,Schedule!$AQ$15,IF(Schedule!N10=16,Schedule!#REF!,IF(Schedule!N10=17,Schedule!#REF!,IF(Schedule!N10=18,Schedule!$AQ$16,IF(Schedule!N10=19,Schedule!$AQ$17,IF(Schedule!N10=20,Schedule!$AQ$18,IF(Schedule!N10=21,Schedule!#REF!))))))))))))))))))))))</f>
        <v xml:space="preserve">Booth(1)/ VC </v>
      </c>
      <c r="N13" s="72" t="str">
        <f>IF(Schedule!O10=0,Schedule!$AQ$3,IF(Schedule!O10=1,Schedule!$AQ$4,IF(Schedule!O10=2,Schedule!$AQ$5,IF(Schedule!O10=3,Schedule!$AQ$6,IF(Schedule!O10=4,Schedule!$AQ$7,IF(Schedule!O10=5,Schedule!$AQ$8,IF(Schedule!O10=6,Schedule!$AQ$9,IF(Schedule!O10=7,Schedule!$AQ$10,IF(Schedule!O10=8,Schedule!#REF!,IF(Schedule!O10=9,Schedule!$AQ$12,IF(Schedule!O10=10,Schedule!$AQ$13,IF(Schedule!O10=11,Schedule!#REF!,IF(Schedule!O10=12,Schedule!#REF!,IF(Schedule!O10=13,Schedule!$AQ$14,IF(Schedule!O10=14,Schedule!#REF!,IF(Schedule!O10=15,Schedule!$AQ$15,IF(Schedule!O10=16,Schedule!#REF!,IF(Schedule!O10=17,Schedule!#REF!,IF(Schedule!O10=18,Schedule!$AQ$16,IF(Schedule!O10=19,Schedule!$AQ$17,IF(Schedule!O10=20,Schedule!$AQ$18,IF(Schedule!O10=21,Schedule!#REF!))))))))))))))))))))))</f>
        <v>Stop 14(2)</v>
      </c>
      <c r="O13" s="72" t="str">
        <f>IF(Schedule!P10=0,Schedule!$AQ$3,IF(Schedule!P10=1,Schedule!$AQ$4,IF(Schedule!P10=2,Schedule!$AQ$5,IF(Schedule!P10=3,Schedule!$AQ$6,IF(Schedule!P10=4,Schedule!$AQ$7,IF(Schedule!P10=5,Schedule!$AQ$8,IF(Schedule!P10=6,Schedule!$AQ$9,IF(Schedule!P10=7,Schedule!$AQ$10,IF(Schedule!P10=8,Schedule!#REF!,IF(Schedule!P10=9,Schedule!$AQ$12,IF(Schedule!P10=10,Schedule!$AQ$13,IF(Schedule!P10=11,Schedule!#REF!,IF(Schedule!P10=12,Schedule!#REF!,IF(Schedule!P10=13,Schedule!$AQ$14,IF(Schedule!P10=14,Schedule!#REF!,IF(Schedule!P10=15,Schedule!$AQ$15,IF(Schedule!P10=16,Schedule!#REF!,IF(Schedule!P10=17,Schedule!#REF!,IF(Schedule!P10=18,Schedule!$AQ$16,IF(Schedule!P10=19,Schedule!$AQ$17,IF(Schedule!P10=20,Schedule!$AQ$18,IF(Schedule!P10=21,Schedule!#REF!))))))))))))))))))))))</f>
        <v>OFF</v>
      </c>
      <c r="P13" s="72" t="str">
        <f>IF(Schedule!Q10=0,Schedule!$AQ$3,IF(Schedule!Q10=1,Schedule!$AQ$4,IF(Schedule!Q10=2,Schedule!$AQ$5,IF(Schedule!Q10=3,Schedule!$AQ$6,IF(Schedule!Q10=4,Schedule!$AQ$7,IF(Schedule!Q10=5,Schedule!$AQ$8,IF(Schedule!Q10=6,Schedule!$AQ$9,IF(Schedule!Q10=7,Schedule!$AQ$10,IF(Schedule!Q10=8,Schedule!#REF!,IF(Schedule!Q10=9,Schedule!$AQ$12,IF(Schedule!Q10=10,Schedule!$AQ$13,IF(Schedule!Q10=11,Schedule!#REF!,IF(Schedule!Q10=12,Schedule!#REF!,IF(Schedule!Q10=13,Schedule!$AQ$14,IF(Schedule!Q10=14,Schedule!#REF!,IF(Schedule!Q10=15,Schedule!$AQ$15,IF(Schedule!Q10=16,Schedule!#REF!,IF(Schedule!Q10=17,Schedule!#REF!,IF(Schedule!Q10=18,Schedule!$AQ$16,IF(Schedule!Q10=19,Schedule!$AQ$17,IF(Schedule!Q10=20,Schedule!$AQ$18,IF(Schedule!Q10=21,Schedule!#REF!))))))))))))))))))))))</f>
        <v>OFF</v>
      </c>
      <c r="Q13" s="72" t="str">
        <f>IF(Schedule!R10=0,Schedule!$AQ$3,IF(Schedule!R10=1,Schedule!$AQ$4,IF(Schedule!R10=2,Schedule!$AQ$5,IF(Schedule!R10=3,Schedule!$AQ$6,IF(Schedule!R10=4,Schedule!$AQ$7,IF(Schedule!R10=5,Schedule!$AQ$8,IF(Schedule!R10=6,Schedule!$AQ$9,IF(Schedule!R10=7,Schedule!$AQ$10,IF(Schedule!R10=8,Schedule!#REF!,IF(Schedule!R10=9,Schedule!$AQ$12,IF(Schedule!R10=10,Schedule!$AQ$13,IF(Schedule!R10=11,Schedule!#REF!,IF(Schedule!R10=12,Schedule!#REF!,IF(Schedule!R10=13,Schedule!$AQ$14,IF(Schedule!R10=14,Schedule!#REF!,IF(Schedule!R10=15,Schedule!$AQ$15,IF(Schedule!R10=16,Schedule!#REF!,IF(Schedule!R10=17,Schedule!#REF!,IF(Schedule!R10=18,Schedule!$AQ$16,IF(Schedule!R10=19,Schedule!$AQ$17,IF(Schedule!R10=20,Schedule!$AQ$18,IF(Schedule!R10=21,Schedule!#REF!))))))))))))))))))))))</f>
        <v xml:space="preserve">VC(2)/ Booth  </v>
      </c>
      <c r="R13" s="72" t="str">
        <f>IF(Schedule!S10=0,Schedule!$AQ$3,IF(Schedule!S10=1,Schedule!$AQ$4,IF(Schedule!S10=2,Schedule!$AQ$5,IF(Schedule!S10=3,Schedule!$AQ$6,IF(Schedule!S10=4,Schedule!$AQ$7,IF(Schedule!S10=5,Schedule!$AQ$8,IF(Schedule!S10=6,Schedule!$AQ$9,IF(Schedule!S10=7,Schedule!$AQ$10,IF(Schedule!S10=8,Schedule!#REF!,IF(Schedule!S10=9,Schedule!$AQ$12,IF(Schedule!S10=10,Schedule!$AQ$13,IF(Schedule!S10=11,Schedule!#REF!,IF(Schedule!S10=12,Schedule!#REF!,IF(Schedule!S10=13,Schedule!$AQ$14,IF(Schedule!S10=14,Schedule!#REF!,IF(Schedule!S10=15,Schedule!$AQ$15,IF(Schedule!S10=16,Schedule!#REF!,IF(Schedule!S10=17,Schedule!#REF!,IF(Schedule!S10=18,Schedule!$AQ$16,IF(Schedule!S10=19,Schedule!$AQ$17,IF(Schedule!S10=20,Schedule!$AQ$18,IF(Schedule!S10=21,Schedule!#REF!))))))))))))))))))))))</f>
        <v>Stop 7(2)/ 5&amp;9</v>
      </c>
      <c r="S13" s="72" t="str">
        <f>IF(Schedule!T10=0,Schedule!$AQ$3,IF(Schedule!T10=1,Schedule!$AQ$4,IF(Schedule!T10=2,Schedule!$AQ$5,IF(Schedule!T10=3,Schedule!$AQ$6,IF(Schedule!T10=4,Schedule!$AQ$7,IF(Schedule!T10=5,Schedule!$AQ$8,IF(Schedule!T10=6,Schedule!$AQ$9,IF(Schedule!T10=7,Schedule!$AQ$10,IF(Schedule!T10=8,Schedule!#REF!,IF(Schedule!T10=9,Schedule!$AQ$12,IF(Schedule!T10=10,Schedule!$AQ$13,IF(Schedule!T10=11,Schedule!#REF!,IF(Schedule!T10=12,Schedule!#REF!,IF(Schedule!T10=13,Schedule!$AQ$14,IF(Schedule!T10=14,Schedule!#REF!,IF(Schedule!T10=15,Schedule!$AQ$15,IF(Schedule!T10=16,Schedule!#REF!,IF(Schedule!T10=17,Schedule!#REF!,IF(Schedule!T10=18,Schedule!$AQ$16,IF(Schedule!T10=19,Schedule!$AQ$17,IF(Schedule!T10=20,Schedule!$AQ$18,IF(Schedule!T10=21,Schedule!#REF!))))))))))))))))))))))</f>
        <v>OFF</v>
      </c>
      <c r="T13" s="72" t="str">
        <f>IF(Schedule!U10=0,Schedule!$AQ$3,IF(Schedule!U10=1,Schedule!$AQ$4,IF(Schedule!U10=2,Schedule!$AQ$5,IF(Schedule!U10=3,Schedule!$AQ$6,IF(Schedule!U10=4,Schedule!$AQ$7,IF(Schedule!U10=5,Schedule!$AQ$8,IF(Schedule!U10=6,Schedule!$AQ$9,IF(Schedule!U10=7,Schedule!$AQ$10,IF(Schedule!U10=8,Schedule!#REF!,IF(Schedule!U10=9,Schedule!$AQ$12,IF(Schedule!U10=10,Schedule!$AQ$13,IF(Schedule!U10=11,Schedule!#REF!,IF(Schedule!U10=12,Schedule!#REF!,IF(Schedule!U10=13,Schedule!$AQ$14,IF(Schedule!U10=14,Schedule!#REF!,IF(Schedule!U10=15,Schedule!$AQ$15,IF(Schedule!U10=16,Schedule!#REF!,IF(Schedule!U10=17,Schedule!#REF!,IF(Schedule!U10=18,Schedule!$AQ$16,IF(Schedule!U10=19,Schedule!$AQ$17,IF(Schedule!U10=20,Schedule!$AQ$18,IF(Schedule!U10=21,Schedule!#REF!))))))))))))))))))))))</f>
        <v>Stop 7(2)</v>
      </c>
      <c r="U13" s="72" t="str">
        <f>IF(Schedule!V10=0,Schedule!$AQ$3,IF(Schedule!V10=1,Schedule!$AQ$4,IF(Schedule!V10=2,Schedule!$AQ$5,IF(Schedule!V10=3,Schedule!$AQ$6,IF(Schedule!V10=4,Schedule!$AQ$7,IF(Schedule!V10=5,Schedule!$AQ$8,IF(Schedule!V10=6,Schedule!$AQ$9,IF(Schedule!V10=7,Schedule!$AQ$10,IF(Schedule!V10=8,Schedule!#REF!,IF(Schedule!V10=9,Schedule!$AQ$12,IF(Schedule!V10=10,Schedule!$AQ$13,IF(Schedule!V10=11,Schedule!#REF!,IF(Schedule!V10=12,Schedule!#REF!,IF(Schedule!V10=13,Schedule!$AQ$14,IF(Schedule!V10=14,Schedule!#REF!,IF(Schedule!V10=15,Schedule!$AQ$15,IF(Schedule!V10=16,Schedule!#REF!,IF(Schedule!V10=17,Schedule!#REF!,IF(Schedule!V10=18,Schedule!$AQ$16,IF(Schedule!V10=19,Schedule!$AQ$17,IF(Schedule!V10=20,Schedule!$AQ$18,IF(Schedule!V10=21,Schedule!#REF!))))))))))))))))))))))</f>
        <v>Art(1)/ Stop 7</v>
      </c>
      <c r="V13" s="72" t="str">
        <f>IF(Schedule!W10=0,Schedule!$AQ$3,IF(Schedule!W10=1,Schedule!$AQ$4,IF(Schedule!W10=2,Schedule!$AQ$5,IF(Schedule!W10=3,Schedule!$AQ$6,IF(Schedule!W10=4,Schedule!$AQ$7,IF(Schedule!W10=5,Schedule!$AQ$8,IF(Schedule!W10=6,Schedule!$AQ$9,IF(Schedule!W10=7,Schedule!$AQ$10,IF(Schedule!W10=8,Schedule!#REF!,IF(Schedule!W10=9,Schedule!$AQ$12,IF(Schedule!W10=10,Schedule!$AQ$13,IF(Schedule!W10=11,Schedule!#REF!,IF(Schedule!W10=12,Schedule!#REF!,IF(Schedule!W10=13,Schedule!$AQ$14,IF(Schedule!W10=14,Schedule!#REF!,IF(Schedule!W10=15,Schedule!$AQ$15,IF(Schedule!W10=16,Schedule!#REF!,IF(Schedule!W10=17,Schedule!#REF!,IF(Schedule!W10=18,Schedule!$AQ$16,IF(Schedule!W10=19,Schedule!$AQ$17,IF(Schedule!W10=20,Schedule!$AQ$18,IF(Schedule!W10=21,Schedule!#REF!))))))))))))))))))))))</f>
        <v>OFF</v>
      </c>
      <c r="W13" s="72" t="str">
        <f>IF(Schedule!X10=0,Schedule!$AQ$3,IF(Schedule!X10=1,Schedule!$AQ$4,IF(Schedule!X10=2,Schedule!$AQ$5,IF(Schedule!X10=3,Schedule!$AQ$6,IF(Schedule!X10=4,Schedule!$AQ$7,IF(Schedule!X10=5,Schedule!$AQ$8,IF(Schedule!X10=6,Schedule!$AQ$9,IF(Schedule!X10=7,Schedule!$AQ$10,IF(Schedule!X10=8,Schedule!#REF!,IF(Schedule!X10=9,Schedule!$AQ$12,IF(Schedule!X10=10,Schedule!$AQ$13,IF(Schedule!X10=11,Schedule!#REF!,IF(Schedule!X10=12,Schedule!#REF!,IF(Schedule!X10=13,Schedule!$AQ$14,IF(Schedule!X10=14,Schedule!#REF!,IF(Schedule!X10=15,Schedule!$AQ$15,IF(Schedule!X10=16,Schedule!#REF!,IF(Schedule!X10=17,Schedule!#REF!,IF(Schedule!X10=18,Schedule!$AQ$16,IF(Schedule!X10=19,Schedule!$AQ$17,IF(Schedule!X10=20,Schedule!$AQ$18,IF(Schedule!X10=21,Schedule!#REF!))))))))))))))))))))))</f>
        <v>OFF</v>
      </c>
      <c r="X13" s="72" t="str">
        <f>IF(Schedule!Y10=0,Schedule!$AQ$3,IF(Schedule!Y10=1,Schedule!$AQ$4,IF(Schedule!Y10=2,Schedule!$AQ$5,IF(Schedule!Y10=3,Schedule!$AQ$6,IF(Schedule!Y10=4,Schedule!$AQ$7,IF(Schedule!Y10=5,Schedule!$AQ$8,IF(Schedule!Y10=6,Schedule!$AQ$9,IF(Schedule!Y10=7,Schedule!$AQ$10,IF(Schedule!Y10=8,Schedule!#REF!,IF(Schedule!Y10=9,Schedule!$AQ$12,IF(Schedule!Y10=10,Schedule!$AQ$13,IF(Schedule!Y10=11,Schedule!#REF!,IF(Schedule!Y10=12,Schedule!#REF!,IF(Schedule!Y10=13,Schedule!$AQ$14,IF(Schedule!Y10=14,Schedule!#REF!,IF(Schedule!Y10=15,Schedule!$AQ$15,IF(Schedule!Y10=16,Schedule!#REF!,IF(Schedule!Y10=17,Schedule!#REF!,IF(Schedule!Y10=18,Schedule!$AQ$16,IF(Schedule!Y10=19,Schedule!$AQ$17,IF(Schedule!Y10=20,Schedule!$AQ$18,IF(Schedule!Y10=21,Schedule!#REF!))))))))))))))))))))))</f>
        <v>Stop 14(2)</v>
      </c>
      <c r="Y13" s="72" t="str">
        <f>IF(Schedule!Z10=0,Schedule!$AQ$3,IF(Schedule!Z10=1,Schedule!$AQ$4,IF(Schedule!Z10=2,Schedule!$AQ$5,IF(Schedule!Z10=3,Schedule!$AQ$6,IF(Schedule!Z10=4,Schedule!$AQ$7,IF(Schedule!Z10=5,Schedule!$AQ$8,IF(Schedule!Z10=6,Schedule!$AQ$9,IF(Schedule!Z10=7,Schedule!$AQ$10,IF(Schedule!Z10=8,Schedule!#REF!,IF(Schedule!Z10=9,Schedule!$AQ$12,IF(Schedule!Z10=10,Schedule!$AQ$13,IF(Schedule!Z10=11,Schedule!#REF!,IF(Schedule!Z10=12,Schedule!#REF!,IF(Schedule!Z10=13,Schedule!$AQ$14,IF(Schedule!Z10=14,Schedule!#REF!,IF(Schedule!Z10=15,Schedule!$AQ$15,IF(Schedule!Z10=16,Schedule!#REF!,IF(Schedule!Z10=17,Schedule!#REF!,IF(Schedule!Z10=18,Schedule!$AQ$16,IF(Schedule!Z10=19,Schedule!$AQ$17,IF(Schedule!Z10=20,Schedule!$AQ$18,IF(Schedule!Z10=21,Schedule!#REF!))))))))))))))))))))))</f>
        <v>Stop 7(2)</v>
      </c>
      <c r="Z13" s="72" t="str">
        <f>IF(Schedule!AA10=0,Schedule!$AQ$3,IF(Schedule!AA10=1,Schedule!$AQ$4,IF(Schedule!AA10=2,Schedule!$AQ$5,IF(Schedule!AA10=3,Schedule!$AQ$6,IF(Schedule!AA10=4,Schedule!$AQ$7,IF(Schedule!AA10=5,Schedule!$AQ$8,IF(Schedule!AA10=6,Schedule!$AQ$9,IF(Schedule!AA10=7,Schedule!$AQ$10,IF(Schedule!AA10=8,Schedule!#REF!,IF(Schedule!AA10=9,Schedule!$AQ$12,IF(Schedule!AA10=10,Schedule!$AQ$13,IF(Schedule!AA10=11,Schedule!#REF!,IF(Schedule!AA10=12,Schedule!#REF!,IF(Schedule!AA10=13,Schedule!$AQ$14,IF(Schedule!AA10=14,Schedule!#REF!,IF(Schedule!AA10=15,Schedule!$AQ$15,IF(Schedule!AA10=16,Schedule!#REF!,IF(Schedule!AA10=17,Schedule!#REF!,IF(Schedule!AA10=18,Schedule!$AQ$16,IF(Schedule!AA10=19,Schedule!$AQ$17,IF(Schedule!AA10=20,Schedule!$AQ$18,IF(Schedule!AA10=21,Schedule!#REF!))))))))))))))))))))))</f>
        <v>OFF</v>
      </c>
      <c r="AA13" s="72" t="str">
        <f>IF(Schedule!AB10=0,Schedule!$AQ$3,IF(Schedule!AB10=1,Schedule!$AQ$4,IF(Schedule!AB10=2,Schedule!$AQ$5,IF(Schedule!AB10=3,Schedule!$AQ$6,IF(Schedule!AB10=4,Schedule!$AQ$7,IF(Schedule!AB10=5,Schedule!$AQ$8,IF(Schedule!AB10=6,Schedule!$AQ$9,IF(Schedule!AB10=7,Schedule!$AQ$10,IF(Schedule!AB10=8,Schedule!#REF!,IF(Schedule!AB10=9,Schedule!$AQ$12,IF(Schedule!AB10=10,Schedule!$AQ$13,IF(Schedule!AB10=11,Schedule!#REF!,IF(Schedule!AB10=12,Schedule!#REF!,IF(Schedule!AB10=13,Schedule!$AQ$14,IF(Schedule!AB10=14,Schedule!#REF!,IF(Schedule!AB10=15,Schedule!$AQ$15,IF(Schedule!AB10=16,Schedule!#REF!,IF(Schedule!AB10=17,Schedule!#REF!,IF(Schedule!AB10=18,Schedule!$AQ$16,IF(Schedule!AB10=19,Schedule!$AQ$17,IF(Schedule!AB10=20,Schedule!$AQ$18,IF(Schedule!AB10=21,Schedule!#REF!))))))))))))))))))))))</f>
        <v>OFF</v>
      </c>
      <c r="AB13" s="72" t="str">
        <f>IF(Schedule!AC10=0,Schedule!$AQ$3,IF(Schedule!AC10=1,Schedule!$AQ$4,IF(Schedule!AC10=2,Schedule!$AQ$5,IF(Schedule!AC10=3,Schedule!$AQ$6,IF(Schedule!AC10=4,Schedule!$AQ$7,IF(Schedule!AC10=5,Schedule!$AQ$8,IF(Schedule!AC10=6,Schedule!$AQ$9,IF(Schedule!AC10=7,Schedule!$AQ$10,IF(Schedule!AC10=8,Schedule!#REF!,IF(Schedule!AC10=9,Schedule!$AQ$12,IF(Schedule!AC10=10,Schedule!$AQ$13,IF(Schedule!AC10=11,Schedule!#REF!,IF(Schedule!AC10=12,Schedule!#REF!,IF(Schedule!AC10=13,Schedule!$AQ$14,IF(Schedule!AC10=14,Schedule!#REF!,IF(Schedule!AC10=15,Schedule!$AQ$15,IF(Schedule!AC10=16,Schedule!#REF!,IF(Schedule!AC10=17,Schedule!#REF!,IF(Schedule!AC10=18,Schedule!$AQ$16,IF(Schedule!AC10=19,Schedule!$AQ$17,IF(Schedule!AC10=20,Schedule!$AQ$18,IF(Schedule!AC10=21,Schedule!#REF!))))))))))))))))))))))</f>
        <v xml:space="preserve">VC(2)/ Booth  </v>
      </c>
      <c r="AC13" s="72" t="e">
        <f>IF(Schedule!AD10=0,Schedule!$AQ$3,IF(Schedule!AD10=1,Schedule!$AQ$4,IF(Schedule!AD10=2,Schedule!$AQ$5,IF(Schedule!AD10=3,Schedule!$AQ$6,IF(Schedule!AD10=4,Schedule!$AQ$7,IF(Schedule!AD10=5,Schedule!$AQ$8,IF(Schedule!AD10=6,Schedule!$AQ$9,IF(Schedule!AD10=7,Schedule!$AQ$10,IF(Schedule!AD10=8,Schedule!#REF!,IF(Schedule!AD10=9,Schedule!$AQ$12,IF(Schedule!AD10=10,Schedule!$AQ$13,IF(Schedule!AD10=11,Schedule!#REF!,IF(Schedule!AD10=12,Schedule!#REF!,IF(Schedule!AD10=13,Schedule!$AQ$14,IF(Schedule!AD10=14,Schedule!#REF!,IF(Schedule!AD10=15,Schedule!$AQ$15,IF(Schedule!AD10=16,Schedule!#REF!,IF(Schedule!AD10=17,Schedule!#REF!,IF(Schedule!AD10=18,Schedule!$AQ$16,IF(Schedule!AD10=19,Schedule!$AQ$17,IF(Schedule!AD10=20,Schedule!$AQ$18,IF(Schedule!AD10=21,Schedule!#REF!))))))))))))))))))))))</f>
        <v>#REF!</v>
      </c>
      <c r="AD13" s="72" t="str">
        <f>IF(Schedule!AE10=0,Schedule!$AQ$3,IF(Schedule!AE10=1,Schedule!$AQ$4,IF(Schedule!AE10=2,Schedule!$AQ$5,IF(Schedule!AE10=3,Schedule!$AQ$6,IF(Schedule!AE10=4,Schedule!$AQ$7,IF(Schedule!AE10=5,Schedule!$AQ$8,IF(Schedule!AE10=6,Schedule!$AQ$9,IF(Schedule!AE10=7,Schedule!$AQ$10,IF(Schedule!AE10=8,Schedule!#REF!,IF(Schedule!AE10=9,Schedule!$AQ$12,IF(Schedule!AE10=10,Schedule!$AQ$13,IF(Schedule!AE10=11,Schedule!#REF!,IF(Schedule!AE10=12,Schedule!#REF!,IF(Schedule!AE10=13,Schedule!$AQ$14,IF(Schedule!AE10=14,Schedule!#REF!,IF(Schedule!AE10=15,Schedule!$AQ$15,IF(Schedule!AE10=16,Schedule!#REF!,IF(Schedule!AE10=17,Schedule!#REF!,IF(Schedule!AE10=18,Schedule!$AQ$16,IF(Schedule!AE10=19,Schedule!$AQ$17,IF(Schedule!AE10=20,Schedule!$AQ$18,IF(Schedule!AE10=21,Schedule!#REF!))))))))))))))))))))))</f>
        <v xml:space="preserve">VC(1)/ Booth </v>
      </c>
      <c r="AE13" s="72" t="str">
        <f>IF(Schedule!AF10=0,Schedule!$AQ$3,IF(Schedule!AF10=1,Schedule!$AQ$4,IF(Schedule!AF10=2,Schedule!$AQ$5,IF(Schedule!AF10=3,Schedule!$AQ$6,IF(Schedule!AF10=4,Schedule!$AQ$7,IF(Schedule!AF10=5,Schedule!$AQ$8,IF(Schedule!AF10=6,Schedule!$AQ$9,IF(Schedule!AF10=7,Schedule!$AQ$10,IF(Schedule!AF10=8,Schedule!#REF!,IF(Schedule!AF10=9,Schedule!$AQ$12,IF(Schedule!AF10=10,Schedule!$AQ$13,IF(Schedule!AF10=11,Schedule!#REF!,IF(Schedule!AF10=12,Schedule!#REF!,IF(Schedule!AF10=13,Schedule!$AQ$14,IF(Schedule!AF10=14,Schedule!#REF!,IF(Schedule!AF10=15,Schedule!$AQ$15,IF(Schedule!AF10=16,Schedule!#REF!,IF(Schedule!AF10=17,Schedule!#REF!,IF(Schedule!AF10=18,Schedule!$AQ$16,IF(Schedule!AF10=19,Schedule!$AQ$17,IF(Schedule!AF10=20,Schedule!$AQ$18,IF(Schedule!AF10=21,Schedule!#REF!))))))))))))))))))))))</f>
        <v>OFF</v>
      </c>
      <c r="AF13" s="72" t="str">
        <f>IF(Schedule!AG10=0,Schedule!$AQ$3,IF(Schedule!AG10=1,Schedule!$AQ$4,IF(Schedule!AG10=2,Schedule!$AQ$5,IF(Schedule!AG10=3,Schedule!$AQ$6,IF(Schedule!AG10=4,Schedule!$AQ$7,IF(Schedule!AG10=5,Schedule!$AQ$8,IF(Schedule!AG10=6,Schedule!$AQ$9,IF(Schedule!AG10=7,Schedule!$AQ$10,IF(Schedule!AG10=8,Schedule!#REF!,IF(Schedule!AG10=9,Schedule!$AQ$12,IF(Schedule!AG10=10,Schedule!$AQ$13,IF(Schedule!AG10=11,Schedule!#REF!,IF(Schedule!AG10=12,Schedule!#REF!,IF(Schedule!AG10=13,Schedule!$AQ$14,IF(Schedule!AG10=14,Schedule!#REF!,IF(Schedule!AG10=15,Schedule!$AQ$15,IF(Schedule!AG10=16,Schedule!#REF!,IF(Schedule!AG10=17,Schedule!#REF!,IF(Schedule!AG10=18,Schedule!$AQ$16,IF(Schedule!AG10=19,Schedule!$AQ$17,IF(Schedule!AG10=20,Schedule!$AQ$18,IF(Schedule!AG10=21,Schedule!#REF!))))))))))))))))))))))</f>
        <v>OFF</v>
      </c>
      <c r="AG13" s="72" t="str">
        <f>IF(Schedule!AH10=0,Schedule!$AQ$3,IF(Schedule!AH10=1,Schedule!$AQ$4,IF(Schedule!AH10=2,Schedule!$AQ$5,IF(Schedule!AH10=3,Schedule!$AQ$6,IF(Schedule!AH10=4,Schedule!$AQ$7,IF(Schedule!AH10=5,Schedule!$AQ$8,IF(Schedule!AH10=6,Schedule!$AQ$9,IF(Schedule!AH10=7,Schedule!$AQ$10,IF(Schedule!AH10=8,Schedule!#REF!,IF(Schedule!AH10=9,Schedule!$AQ$12,IF(Schedule!AH10=10,Schedule!$AQ$13,IF(Schedule!AH10=11,Schedule!#REF!,IF(Schedule!AH10=12,Schedule!#REF!,IF(Schedule!AH10=13,Schedule!$AQ$14,IF(Schedule!AH10=14,Schedule!#REF!,IF(Schedule!AH10=15,Schedule!$AQ$15,IF(Schedule!AH10=16,Schedule!#REF!,IF(Schedule!AH10=17,Schedule!#REF!,IF(Schedule!AH10=18,Schedule!$AQ$16,IF(Schedule!AH10=19,Schedule!$AQ$17,IF(Schedule!AH10=20,Schedule!$AQ$18,IF(Schedule!AH10=21,Schedule!#REF!))))))))))))))))))))))</f>
        <v xml:space="preserve">Booth(2)/ VC </v>
      </c>
      <c r="AH13" s="72" t="str">
        <f>IF(Schedule!AI10=0,Schedule!$AQ$3,IF(Schedule!AI10=1,Schedule!$AQ$4,IF(Schedule!AI10=2,Schedule!$AQ$5,IF(Schedule!AI10=3,Schedule!$AQ$6,IF(Schedule!AI10=4,Schedule!$AQ$7,IF(Schedule!AI10=5,Schedule!$AQ$8,IF(Schedule!AI10=6,Schedule!$AQ$9,IF(Schedule!AI10=7,Schedule!$AQ$10,IF(Schedule!AI10=8,Schedule!#REF!,IF(Schedule!AI10=9,Schedule!$AQ$12,IF(Schedule!AI10=10,Schedule!$AQ$13,IF(Schedule!AI10=11,Schedule!#REF!,IF(Schedule!AI10=12,Schedule!#REF!,IF(Schedule!AI10=13,Schedule!$AQ$14,IF(Schedule!AI10=14,Schedule!#REF!,IF(Schedule!AI10=15,Schedule!$AQ$15,IF(Schedule!AI10=16,Schedule!#REF!,IF(Schedule!AI10=17,Schedule!#REF!,IF(Schedule!AI10=18,Schedule!$AQ$16,IF(Schedule!AI10=19,Schedule!$AQ$17,IF(Schedule!AI10=20,Schedule!$AQ$18,IF(Schedule!AI10=21,Schedule!#REF!))))))))))))))))))))))</f>
        <v>Stop 14(2)</v>
      </c>
      <c r="AI13" s="72" t="str">
        <f>IF(Schedule!AJ10=0,Schedule!$AQ$3,IF(Schedule!AJ10=1,Schedule!$AQ$4,IF(Schedule!AJ10=2,Schedule!$AQ$5,IF(Schedule!AJ10=3,Schedule!$AQ$6,IF(Schedule!AJ10=4,Schedule!$AQ$7,IF(Schedule!AJ10=5,Schedule!$AQ$8,IF(Schedule!AJ10=6,Schedule!$AQ$9,IF(Schedule!AJ10=7,Schedule!$AQ$10,IF(Schedule!AJ10=8,Schedule!#REF!,IF(Schedule!AJ10=9,Schedule!$AQ$12,IF(Schedule!AJ10=10,Schedule!$AQ$13,IF(Schedule!AJ10=11,Schedule!#REF!,IF(Schedule!AJ10=12,Schedule!#REF!,IF(Schedule!AJ10=13,Schedule!$AQ$14,IF(Schedule!AJ10=14,Schedule!#REF!,IF(Schedule!AJ10=15,Schedule!$AQ$15,IF(Schedule!AJ10=16,Schedule!#REF!,IF(Schedule!AJ10=17,Schedule!#REF!,IF(Schedule!AJ10=18,Schedule!$AQ$16,IF(Schedule!AJ10=19,Schedule!$AQ$17,IF(Schedule!AJ10=20,Schedule!$AQ$18,IF(Schedule!AJ10=21,Schedule!#REF!))))))))))))))))))))))</f>
        <v>OFF</v>
      </c>
      <c r="AJ13" s="72" t="str">
        <f>IF(Schedule!AK10=0,Schedule!$AQ$3,IF(Schedule!AK10=1,Schedule!$AQ$4,IF(Schedule!AK10=2,Schedule!$AQ$5,IF(Schedule!AK10=3,Schedule!$AQ$6,IF(Schedule!AK10=4,Schedule!$AQ$7,IF(Schedule!AK10=5,Schedule!$AQ$8,IF(Schedule!AK10=6,Schedule!$AQ$9,IF(Schedule!AK10=7,Schedule!$AQ$10,IF(Schedule!AK10=8,Schedule!#REF!,IF(Schedule!AK10=9,Schedule!$AQ$12,IF(Schedule!AK10=10,Schedule!$AQ$13,IF(Schedule!AK10=11,Schedule!#REF!,IF(Schedule!AK10=12,Schedule!#REF!,IF(Schedule!AK10=13,Schedule!$AQ$14,IF(Schedule!AK10=14,Schedule!#REF!,IF(Schedule!AK10=15,Schedule!$AQ$15,IF(Schedule!AK10=16,Schedule!#REF!,IF(Schedule!AK10=17,Schedule!#REF!,IF(Schedule!AK10=18,Schedule!$AQ$16,IF(Schedule!AK10=19,Schedule!$AQ$17,IF(Schedule!AK10=20,Schedule!$AQ$18,IF(Schedule!AK10=21,Schedule!#REF!))))))))))))))))))))))</f>
        <v>OFF</v>
      </c>
      <c r="AK13" s="72" t="str">
        <f>IF(Schedule!AL10=0,Schedule!$AQ$3,IF(Schedule!AL10=1,Schedule!$AQ$4,IF(Schedule!AL10=2,Schedule!$AQ$5,IF(Schedule!AL10=3,Schedule!$AQ$6,IF(Schedule!AL10=4,Schedule!$AQ$7,IF(Schedule!AL10=5,Schedule!$AQ$8,IF(Schedule!AL10=6,Schedule!$AQ$9,IF(Schedule!AL10=7,Schedule!$AQ$10,IF(Schedule!AL10=8,Schedule!#REF!,IF(Schedule!AL10=9,Schedule!$AQ$12,IF(Schedule!AL10=10,Schedule!$AQ$13,IF(Schedule!AL10=11,Schedule!#REF!,IF(Schedule!AL10=12,Schedule!#REF!,IF(Schedule!AL10=13,Schedule!$AQ$14,IF(Schedule!AL10=14,Schedule!#REF!,IF(Schedule!AL10=15,Schedule!$AQ$15,IF(Schedule!AL10=16,Schedule!#REF!,IF(Schedule!AL10=17,Schedule!#REF!,IF(Schedule!AL10=18,Schedule!$AQ$16,IF(Schedule!AL10=19,Schedule!$AQ$17,IF(Schedule!AL10=20,Schedule!$AQ$18,IF(Schedule!AL10=21,Schedule!#REF!))))))))))))))))))))))</f>
        <v>Stop 14(2)</v>
      </c>
    </row>
    <row r="14" spans="1:37" ht="22" customHeight="1" x14ac:dyDescent="0.2">
      <c r="A14" s="67" t="str">
        <f>Schedule!D13</f>
        <v>Doe</v>
      </c>
      <c r="B14" s="67" t="str">
        <f>Schedule!C13</f>
        <v>Jane</v>
      </c>
      <c r="C14" s="54"/>
      <c r="D14" s="54"/>
      <c r="E14" s="54"/>
      <c r="F14" s="64"/>
      <c r="G14" s="72" t="str">
        <f>IF(Schedule!E14=0,Schedule!$AQ$3,IF(Schedule!E14=1,Schedule!$AQ$4,IF(Schedule!E14=2,Schedule!$AQ$5,IF(Schedule!E14=3,Schedule!$AQ$6,IF(Schedule!E14=4,Schedule!$AQ$7,IF(Schedule!E14=5,Schedule!$AQ$8,IF(Schedule!E14=6,Schedule!$AQ$9,IF(Schedule!E14=7,Schedule!$AQ$10,IF(Schedule!E14=8,Schedule!#REF!,IF(Schedule!E14=9,Schedule!$AQ$12,IF(Schedule!E14=10,Schedule!$AQ$13,IF(Schedule!E14=11,Schedule!#REF!,IF(Schedule!E14=12,Schedule!#REF!,IF(Schedule!E14=13,Schedule!$AQ$14,IF(Schedule!E14=14,Schedule!#REF!,IF(Schedule!E14=15,Schedule!$AQ$15,IF(Schedule!E14=16,Schedule!#REF!,IF(Schedule!E14=17,Schedule!#REF!,IF(Schedule!E14=18,Schedule!$AQ$16,IF(Schedule!E14=19,Schedule!$AQ$17,IF(Schedule!E14=20,Schedule!$AQ$18,IF(Schedule!E14=21,Schedule!#REF!))))))))))))))))))))))</f>
        <v>Stop 7(2)</v>
      </c>
      <c r="H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4" s="72" t="str">
        <f>IF(Schedule!F4=0,Schedule!$AQ$3,IF(Schedule!F4=1,Schedule!$AQ$4,IF(Schedule!F4=2,Schedule!$AQ$5,IF(Schedule!F4=3,Schedule!$AQ$6,IF(Schedule!F4=4,Schedule!$AQ$7,IF(Schedule!F4=5,Schedule!$AQ$8,IF(Schedule!F4=6,Schedule!$AQ$9,IF(Schedule!F4=7,Schedule!$AQ$10,IF(Schedule!F4=8,Schedule!#REF!,IF(Schedule!F4=9,Schedule!$AQ$12,IF(Schedule!F4=10,Schedule!$AQ$13,IF(Schedule!F4=11,Schedule!#REF!,IF(Schedule!F4=12,Schedule!#REF!,IF(Schedule!F4=13,Schedule!$AQ$14,IF(Schedule!F4=14,Schedule!#REF!,IF(Schedule!F4=15,Schedule!$AQ$15,IF(Schedule!F4=16,Schedule!#REF!,IF(Schedule!F4=17,Schedule!#REF!,IF(Schedule!F4=18,Schedule!$AQ$16,IF(Schedule!F4=19,Schedule!$AQ$17,IF(Schedule!F4=20,Schedule!$AQ$18,IF(Schedule!F4=21,Schedule!#REF!))))))))))))))))))))))</f>
        <v>Stop 14(2)</v>
      </c>
      <c r="J14" s="72" t="str">
        <f>IF(Schedule!J17=0,Schedule!$AQ$3,IF(Schedule!J17=1,Schedule!$AQ$4,IF(Schedule!J17=2,Schedule!$AQ$5,IF(Schedule!J17=3,Schedule!$AQ$6,IF(Schedule!J17=4,Schedule!$AQ$7,IF(Schedule!J17=5,Schedule!$AQ$8,IF(Schedule!J17=6,Schedule!$AQ$9,IF(Schedule!J17=7,Schedule!$AQ$10,IF(Schedule!J17=8,Schedule!#REF!,IF(Schedule!J17=9,Schedule!$AQ$12,IF(Schedule!J17=10,Schedule!$AQ$13,IF(Schedule!J17=11,Schedule!#REF!,IF(Schedule!J17=12,Schedule!#REF!,IF(Schedule!J17=13,Schedule!$AQ$14,IF(Schedule!J17=14,Schedule!#REF!,IF(Schedule!J17=15,Schedule!$AQ$15,IF(Schedule!J17=16,Schedule!#REF!,IF(Schedule!J17=17,Schedule!#REF!,IF(Schedule!J17=18,Schedule!$AQ$16,IF(Schedule!J17=19,Schedule!$AQ$17,IF(Schedule!J17=20,Schedule!$AQ$18,IF(Schedule!J17=21,Schedule!#REF!))))))))))))))))))))))</f>
        <v>OFF</v>
      </c>
      <c r="K14" s="72" t="str">
        <f>IF(Schedule!K14=0,Schedule!$AQ$3,IF(Schedule!K14=1,Schedule!$AQ$4,IF(Schedule!K14=2,Schedule!$AQ$5,IF(Schedule!K14=3,Schedule!$AQ$6,IF(Schedule!K14=4,Schedule!$AQ$7,IF(Schedule!K14=5,Schedule!$AQ$8,IF(Schedule!K14=6,Schedule!$AQ$9,IF(Schedule!K14=7,Schedule!$AQ$10,IF(Schedule!K14=8,Schedule!#REF!,IF(Schedule!K14=9,Schedule!$AQ$12,IF(Schedule!K14=10,Schedule!$AQ$13,IF(Schedule!K14=11,Schedule!#REF!,IF(Schedule!K14=12,Schedule!#REF!,IF(Schedule!K14=13,Schedule!$AQ$14,IF(Schedule!K14=14,Schedule!#REF!,IF(Schedule!K14=15,Schedule!$AQ$15,IF(Schedule!K14=16,Schedule!#REF!,IF(Schedule!K14=17,Schedule!#REF!,IF(Schedule!K14=18,Schedule!$AQ$16,IF(Schedule!K14=19,Schedule!$AQ$17,IF(Schedule!K14=20,Schedule!$AQ$18,IF(Schedule!K14=21,Schedule!#REF!))))))))))))))))))))))</f>
        <v>OFF</v>
      </c>
      <c r="L14" s="72" t="str">
        <f>IF(Schedule!T14=0,Schedule!$AQ$3,IF(Schedule!T14=1,Schedule!$AQ$4,IF(Schedule!T14=2,Schedule!$AQ$5,IF(Schedule!T14=3,Schedule!$AQ$6,IF(Schedule!T14=4,Schedule!$AQ$7,IF(Schedule!T14=5,Schedule!$AQ$8,IF(Schedule!T14=6,Schedule!$AQ$9,IF(Schedule!T14=7,Schedule!$AQ$10,IF(Schedule!T14=8,Schedule!#REF!,IF(Schedule!T14=9,Schedule!$AQ$12,IF(Schedule!T14=10,Schedule!$AQ$13,IF(Schedule!T14=11,Schedule!#REF!,IF(Schedule!T14=12,Schedule!#REF!,IF(Schedule!T14=13,Schedule!$AQ$14,IF(Schedule!T14=14,Schedule!#REF!,IF(Schedule!T14=15,Schedule!$AQ$15,IF(Schedule!T14=16,Schedule!#REF!,IF(Schedule!T14=17,Schedule!#REF!,IF(Schedule!T14=18,Schedule!$AQ$16,IF(Schedule!T14=19,Schedule!$AQ$17,IF(Schedule!T14=20,Schedule!$AQ$18,IF(Schedule!T14=21,Schedule!#REF!))))))))))))))))))))))</f>
        <v>OFF</v>
      </c>
      <c r="M14" s="72" t="str">
        <f>IF(Schedule!U14=0,Schedule!$AQ$3,IF(Schedule!U14=1,Schedule!$AQ$4,IF(Schedule!U14=2,Schedule!$AQ$5,IF(Schedule!U14=3,Schedule!$AQ$6,IF(Schedule!U14=4,Schedule!$AQ$7,IF(Schedule!U14=5,Schedule!$AQ$8,IF(Schedule!U14=6,Schedule!$AQ$9,IF(Schedule!U14=7,Schedule!$AQ$10,IF(Schedule!U14=8,Schedule!#REF!,IF(Schedule!U14=9,Schedule!$AQ$12,IF(Schedule!U14=10,Schedule!$AQ$13,IF(Schedule!U14=11,Schedule!#REF!,IF(Schedule!U14=12,Schedule!#REF!,IF(Schedule!U14=13,Schedule!$AQ$14,IF(Schedule!U14=14,Schedule!#REF!,IF(Schedule!U14=15,Schedule!$AQ$15,IF(Schedule!U14=16,Schedule!#REF!,IF(Schedule!U14=17,Schedule!#REF!,IF(Schedule!U14=18,Schedule!$AQ$16,IF(Schedule!U14=19,Schedule!$AQ$17,IF(Schedule!U14=20,Schedule!$AQ$18,IF(Schedule!U14=21,Schedule!#REF!))))))))))))))))))))))</f>
        <v>OFF</v>
      </c>
      <c r="N14" s="72" t="str">
        <f>IF(Schedule!V14=0,Schedule!$AQ$3,IF(Schedule!V14=1,Schedule!$AQ$4,IF(Schedule!V14=2,Schedule!$AQ$5,IF(Schedule!V14=3,Schedule!$AQ$6,IF(Schedule!V14=4,Schedule!$AQ$7,IF(Schedule!V14=5,Schedule!$AQ$8,IF(Schedule!V14=6,Schedule!$AQ$9,IF(Schedule!V14=7,Schedule!$AQ$10,IF(Schedule!V14=8,Schedule!#REF!,IF(Schedule!V14=9,Schedule!$AQ$12,IF(Schedule!V14=10,Schedule!$AQ$13,IF(Schedule!V14=11,Schedule!#REF!,IF(Schedule!V14=12,Schedule!#REF!,IF(Schedule!V14=13,Schedule!$AQ$14,IF(Schedule!V14=14,Schedule!#REF!,IF(Schedule!V14=15,Schedule!$AQ$15,IF(Schedule!V14=16,Schedule!#REF!,IF(Schedule!V14=17,Schedule!#REF!,IF(Schedule!V14=18,Schedule!$AQ$16,IF(Schedule!V14=19,Schedule!$AQ$17,IF(Schedule!V14=20,Schedule!$AQ$18,IF(Schedule!V14=21,Schedule!#REF!))))))))))))))))))))))</f>
        <v xml:space="preserve">Booth(2)/ VC </v>
      </c>
      <c r="O14" s="72" t="str">
        <f>IF(Schedule!W14=0,Schedule!$AQ$3,IF(Schedule!W14=1,Schedule!$AQ$4,IF(Schedule!W14=2,Schedule!$AQ$5,IF(Schedule!W14=3,Schedule!$AQ$6,IF(Schedule!W14=4,Schedule!$AQ$7,IF(Schedule!W14=5,Schedule!$AQ$8,IF(Schedule!W14=6,Schedule!$AQ$9,IF(Schedule!W14=7,Schedule!$AQ$10,IF(Schedule!W14=8,Schedule!#REF!,IF(Schedule!W14=9,Schedule!$AQ$12,IF(Schedule!W14=10,Schedule!$AQ$13,IF(Schedule!W14=11,Schedule!#REF!,IF(Schedule!W14=12,Schedule!#REF!,IF(Schedule!W14=13,Schedule!$AQ$14,IF(Schedule!W14=14,Schedule!#REF!,IF(Schedule!W14=15,Schedule!$AQ$15,IF(Schedule!W14=16,Schedule!#REF!,IF(Schedule!W14=17,Schedule!#REF!,IF(Schedule!W14=18,Schedule!$AQ$16,IF(Schedule!W14=19,Schedule!$AQ$17,IF(Schedule!W14=20,Schedule!$AQ$18,IF(Schedule!W14=21,Schedule!#REF!))))))))))))))))))))))</f>
        <v xml:space="preserve">VC(2)/ Booth  </v>
      </c>
      <c r="P14" s="72" t="str">
        <f>IF(Schedule!Q14=0,Schedule!$AQ$3,IF(Schedule!Q14=1,Schedule!$AQ$4,IF(Schedule!Q14=2,Schedule!$AQ$5,IF(Schedule!Q14=3,Schedule!$AQ$6,IF(Schedule!Q14=4,Schedule!$AQ$7,IF(Schedule!Q14=5,Schedule!$AQ$8,IF(Schedule!Q14=6,Schedule!$AQ$9,IF(Schedule!Q14=7,Schedule!$AQ$10,IF(Schedule!Q14=8,Schedule!#REF!,IF(Schedule!Q14=9,Schedule!$AQ$12,IF(Schedule!Q14=10,Schedule!$AQ$13,IF(Schedule!Q14=11,Schedule!#REF!,IF(Schedule!Q14=12,Schedule!#REF!,IF(Schedule!Q14=13,Schedule!$AQ$14,IF(Schedule!Q14=14,Schedule!#REF!,IF(Schedule!Q14=15,Schedule!$AQ$15,IF(Schedule!Q14=16,Schedule!#REF!,IF(Schedule!Q14=17,Schedule!#REF!,IF(Schedule!Q14=18,Schedule!$AQ$16,IF(Schedule!Q14=19,Schedule!$AQ$17,IF(Schedule!Q14=20,Schedule!$AQ$18,IF(Schedule!Q14=21,Schedule!#REF!))))))))))))))))))))))</f>
        <v>Stop 7(2)/ 5&amp;9</v>
      </c>
      <c r="Q14" s="72" t="e">
        <f>IF(Schedule!R14=0,Schedule!$AQ$3,IF(Schedule!R14=1,Schedule!$AQ$4,IF(Schedule!R14=2,Schedule!$AQ$5,IF(Schedule!R14=3,Schedule!$AQ$6,IF(Schedule!R14=4,Schedule!$AQ$7,IF(Schedule!R14=5,Schedule!$AQ$8,IF(Schedule!R14=6,Schedule!$AQ$9,IF(Schedule!R14=7,Schedule!$AQ$10,IF(Schedule!R14=8,Schedule!#REF!,IF(Schedule!R14=9,Schedule!$AQ$12,IF(Schedule!R14=10,Schedule!$AQ$13,IF(Schedule!R14=11,Schedule!#REF!,IF(Schedule!R14=12,Schedule!#REF!,IF(Schedule!R14=13,Schedule!$AQ$14,IF(Schedule!R14=14,Schedule!#REF!,IF(Schedule!R14=15,Schedule!$AQ$15,IF(Schedule!R14=16,Schedule!#REF!,IF(Schedule!R14=17,Schedule!#REF!,IF(Schedule!R14=18,Schedule!$AQ$16,IF(Schedule!R14=19,Schedule!$AQ$17,IF(Schedule!R14=20,Schedule!$AQ$18,IF(Schedule!R14=21,Schedule!#REF!))))))))))))))))))))))</f>
        <v>#REF!</v>
      </c>
      <c r="R14" s="72" t="str">
        <f>IF(Schedule!S14=0,Schedule!$AQ$3,IF(Schedule!S14=1,Schedule!$AQ$4,IF(Schedule!S14=2,Schedule!$AQ$5,IF(Schedule!S14=3,Schedule!$AQ$6,IF(Schedule!S14=4,Schedule!$AQ$7,IF(Schedule!S14=5,Schedule!$AQ$8,IF(Schedule!S14=6,Schedule!$AQ$9,IF(Schedule!S14=7,Schedule!$AQ$10,IF(Schedule!S14=8,Schedule!#REF!,IF(Schedule!S14=9,Schedule!$AQ$12,IF(Schedule!S14=10,Schedule!$AQ$13,IF(Schedule!S14=11,Schedule!#REF!,IF(Schedule!S14=12,Schedule!#REF!,IF(Schedule!S14=13,Schedule!$AQ$14,IF(Schedule!S14=14,Schedule!#REF!,IF(Schedule!S14=15,Schedule!$AQ$15,IF(Schedule!S14=16,Schedule!#REF!,IF(Schedule!S14=17,Schedule!#REF!,IF(Schedule!S14=18,Schedule!$AQ$16,IF(Schedule!S14=19,Schedule!$AQ$17,IF(Schedule!S14=20,Schedule!$AQ$18,IF(Schedule!S14=21,Schedule!#REF!))))))))))))))))))))))</f>
        <v>Stop 14(2)</v>
      </c>
      <c r="S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T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U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V14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W14" s="72" t="str">
        <f>IF(Schedule!X14=0,Schedule!$AQ$3,IF(Schedule!X14=1,Schedule!$AQ$4,IF(Schedule!X14=2,Schedule!$AQ$5,IF(Schedule!X14=3,Schedule!$AQ$6,IF(Schedule!X14=4,Schedule!$AQ$7,IF(Schedule!X14=5,Schedule!$AQ$8,IF(Schedule!X14=6,Schedule!$AQ$9,IF(Schedule!X14=7,Schedule!$AQ$10,IF(Schedule!X14=8,Schedule!#REF!,IF(Schedule!X14=9,Schedule!$AQ$12,IF(Schedule!X14=10,Schedule!$AQ$13,IF(Schedule!X14=11,Schedule!#REF!,IF(Schedule!X14=12,Schedule!#REF!,IF(Schedule!X14=13,Schedule!$AQ$14,IF(Schedule!X14=14,Schedule!#REF!,IF(Schedule!X14=15,Schedule!$AQ$15,IF(Schedule!X14=16,Schedule!#REF!,IF(Schedule!X14=17,Schedule!#REF!,IF(Schedule!X14=18,Schedule!$AQ$16,IF(Schedule!X14=19,Schedule!$AQ$17,IF(Schedule!X14=20,Schedule!$AQ$18,IF(Schedule!X14=21,Schedule!#REF!))))))))))))))))))))))</f>
        <v>OFF</v>
      </c>
      <c r="X14" s="72" t="str">
        <f>IF(Schedule!Y14=0,Schedule!$AQ$3,IF(Schedule!Y14=1,Schedule!$AQ$4,IF(Schedule!Y14=2,Schedule!$AQ$5,IF(Schedule!Y14=3,Schedule!$AQ$6,IF(Schedule!Y14=4,Schedule!$AQ$7,IF(Schedule!Y14=5,Schedule!$AQ$8,IF(Schedule!Y14=6,Schedule!$AQ$9,IF(Schedule!Y14=7,Schedule!$AQ$10,IF(Schedule!Y14=8,Schedule!#REF!,IF(Schedule!Y14=9,Schedule!$AQ$12,IF(Schedule!Y14=10,Schedule!$AQ$13,IF(Schedule!Y14=11,Schedule!#REF!,IF(Schedule!Y14=12,Schedule!#REF!,IF(Schedule!Y14=13,Schedule!$AQ$14,IF(Schedule!Y14=14,Schedule!#REF!,IF(Schedule!Y14=15,Schedule!$AQ$15,IF(Schedule!Y14=16,Schedule!#REF!,IF(Schedule!Y14=17,Schedule!#REF!,IF(Schedule!Y14=18,Schedule!$AQ$16,IF(Schedule!Y14=19,Schedule!$AQ$17,IF(Schedule!Y14=20,Schedule!$AQ$18,IF(Schedule!Y14=21,Schedule!#REF!))))))))))))))))))))))</f>
        <v xml:space="preserve">Booth(1)/ VC </v>
      </c>
      <c r="Y14" s="72" t="str">
        <f>IF(Schedule!Z14=0,Schedule!$AQ$3,IF(Schedule!Z14=1,Schedule!$AQ$4,IF(Schedule!Z14=2,Schedule!$AQ$5,IF(Schedule!Z14=3,Schedule!$AQ$6,IF(Schedule!Z14=4,Schedule!$AQ$7,IF(Schedule!Z14=5,Schedule!$AQ$8,IF(Schedule!Z14=6,Schedule!$AQ$9,IF(Schedule!Z14=7,Schedule!$AQ$10,IF(Schedule!Z14=8,Schedule!#REF!,IF(Schedule!Z14=9,Schedule!$AQ$12,IF(Schedule!Z14=10,Schedule!$AQ$13,IF(Schedule!Z14=11,Schedule!#REF!,IF(Schedule!Z14=12,Schedule!#REF!,IF(Schedule!Z14=13,Schedule!$AQ$14,IF(Schedule!Z14=14,Schedule!#REF!,IF(Schedule!Z14=15,Schedule!$AQ$15,IF(Schedule!Z14=16,Schedule!#REF!,IF(Schedule!Z14=17,Schedule!#REF!,IF(Schedule!Z14=18,Schedule!$AQ$16,IF(Schedule!Z14=19,Schedule!$AQ$17,IF(Schedule!Z14=20,Schedule!$AQ$18,IF(Schedule!Z14=21,Schedule!#REF!))))))))))))))))))))))</f>
        <v>Stop 14(2)</v>
      </c>
      <c r="Z14" s="72" t="str">
        <f>IF(Schedule!AA14=0,Schedule!$AQ$3,IF(Schedule!AA14=1,Schedule!$AQ$4,IF(Schedule!AA14=2,Schedule!$AQ$5,IF(Schedule!AA14=3,Schedule!$AQ$6,IF(Schedule!AA14=4,Schedule!$AQ$7,IF(Schedule!AA14=5,Schedule!$AQ$8,IF(Schedule!AA14=6,Schedule!$AQ$9,IF(Schedule!AA14=7,Schedule!$AQ$10,IF(Schedule!AA14=8,Schedule!#REF!,IF(Schedule!AA14=9,Schedule!$AQ$12,IF(Schedule!AA14=10,Schedule!$AQ$13,IF(Schedule!AA14=11,Schedule!#REF!,IF(Schedule!AA14=12,Schedule!#REF!,IF(Schedule!AA14=13,Schedule!$AQ$14,IF(Schedule!AA14=14,Schedule!#REF!,IF(Schedule!AA14=15,Schedule!$AQ$15,IF(Schedule!AA14=16,Schedule!#REF!,IF(Schedule!AA14=17,Schedule!#REF!,IF(Schedule!AA14=18,Schedule!$AQ$16,IF(Schedule!AA14=19,Schedule!$AQ$17,IF(Schedule!AA14=20,Schedule!$AQ$18,IF(Schedule!AA14=21,Schedule!#REF!))))))))))))))))))))))</f>
        <v>OFF</v>
      </c>
      <c r="AA14" s="72" t="str">
        <f>IF(Schedule!AB14=0,Schedule!$AQ$3,IF(Schedule!AB14=1,Schedule!$AQ$4,IF(Schedule!AB14=2,Schedule!$AQ$5,IF(Schedule!AB14=3,Schedule!$AQ$6,IF(Schedule!AB14=4,Schedule!$AQ$7,IF(Schedule!AB14=5,Schedule!$AQ$8,IF(Schedule!AB14=6,Schedule!$AQ$9,IF(Schedule!AB14=7,Schedule!$AQ$10,IF(Schedule!AB14=8,Schedule!#REF!,IF(Schedule!AB14=9,Schedule!$AQ$12,IF(Schedule!AB14=10,Schedule!$AQ$13,IF(Schedule!AB14=11,Schedule!#REF!,IF(Schedule!AB14=12,Schedule!#REF!,IF(Schedule!AB14=13,Schedule!$AQ$14,IF(Schedule!AB14=14,Schedule!#REF!,IF(Schedule!AB14=15,Schedule!$AQ$15,IF(Schedule!AB14=16,Schedule!#REF!,IF(Schedule!AB14=17,Schedule!#REF!,IF(Schedule!AB14=18,Schedule!$AQ$16,IF(Schedule!AB14=19,Schedule!$AQ$17,IF(Schedule!AB14=20,Schedule!$AQ$18,IF(Schedule!AB14=21,Schedule!#REF!))))))))))))))))))))))</f>
        <v>OFF</v>
      </c>
      <c r="AB14" s="72" t="str">
        <f>IF(Schedule!AC14=0,Schedule!$AQ$3,IF(Schedule!AC14=1,Schedule!$AQ$4,IF(Schedule!AC14=2,Schedule!$AQ$5,IF(Schedule!AC14=3,Schedule!$AQ$6,IF(Schedule!AC14=4,Schedule!$AQ$7,IF(Schedule!AC14=5,Schedule!$AQ$8,IF(Schedule!AC14=6,Schedule!$AQ$9,IF(Schedule!AC14=7,Schedule!$AQ$10,IF(Schedule!AC14=8,Schedule!#REF!,IF(Schedule!AC14=9,Schedule!$AQ$12,IF(Schedule!AC14=10,Schedule!$AQ$13,IF(Schedule!AC14=11,Schedule!#REF!,IF(Schedule!AC14=12,Schedule!#REF!,IF(Schedule!AC14=13,Schedule!$AQ$14,IF(Schedule!AC14=14,Schedule!#REF!,IF(Schedule!AC14=15,Schedule!$AQ$15,IF(Schedule!AC14=16,Schedule!#REF!,IF(Schedule!AC14=17,Schedule!#REF!,IF(Schedule!AC14=18,Schedule!$AQ$16,IF(Schedule!AC14=19,Schedule!$AQ$17,IF(Schedule!AC14=20,Schedule!$AQ$18,IF(Schedule!AC14=21,Schedule!#REF!))))))))))))))))))))))</f>
        <v>Stop 7(2)/ 5&amp;9</v>
      </c>
      <c r="AC14" s="72" t="str">
        <f>IF(Schedule!AD14=0,Schedule!$AQ$3,IF(Schedule!AD14=1,Schedule!$AQ$4,IF(Schedule!AD14=2,Schedule!$AQ$5,IF(Schedule!AD14=3,Schedule!$AQ$6,IF(Schedule!AD14=4,Schedule!$AQ$7,IF(Schedule!AD14=5,Schedule!$AQ$8,IF(Schedule!AD14=6,Schedule!$AQ$9,IF(Schedule!AD14=7,Schedule!$AQ$10,IF(Schedule!AD14=8,Schedule!#REF!,IF(Schedule!AD14=9,Schedule!$AQ$12,IF(Schedule!AD14=10,Schedule!$AQ$13,IF(Schedule!AD14=11,Schedule!#REF!,IF(Schedule!AD14=12,Schedule!#REF!,IF(Schedule!AD14=13,Schedule!$AQ$14,IF(Schedule!AD14=14,Schedule!#REF!,IF(Schedule!AD14=15,Schedule!$AQ$15,IF(Schedule!AD14=16,Schedule!#REF!,IF(Schedule!AD14=17,Schedule!#REF!,IF(Schedule!AD14=18,Schedule!$AQ$16,IF(Schedule!AD14=19,Schedule!$AQ$17,IF(Schedule!AD14=20,Schedule!$AQ$18,IF(Schedule!AD14=21,Schedule!#REF!))))))))))))))))))))))</f>
        <v>Stop 14(2)</v>
      </c>
      <c r="AD14" s="72" t="str">
        <f>IF(Schedule!AE14=0,Schedule!$AQ$3,IF(Schedule!AE14=1,Schedule!$AQ$4,IF(Schedule!AE14=2,Schedule!$AQ$5,IF(Schedule!AE14=3,Schedule!$AQ$6,IF(Schedule!AE14=4,Schedule!$AQ$7,IF(Schedule!AE14=5,Schedule!$AQ$8,IF(Schedule!AE14=6,Schedule!$AQ$9,IF(Schedule!AE14=7,Schedule!$AQ$10,IF(Schedule!AE14=8,Schedule!#REF!,IF(Schedule!AE14=9,Schedule!$AQ$12,IF(Schedule!AE14=10,Schedule!$AQ$13,IF(Schedule!AE14=11,Schedule!#REF!,IF(Schedule!AE14=12,Schedule!#REF!,IF(Schedule!AE14=13,Schedule!$AQ$14,IF(Schedule!AE14=14,Schedule!#REF!,IF(Schedule!AE14=15,Schedule!$AQ$15,IF(Schedule!AE14=16,Schedule!#REF!,IF(Schedule!AE14=17,Schedule!#REF!,IF(Schedule!AE14=18,Schedule!$AQ$16,IF(Schedule!AE14=19,Schedule!$AQ$17,IF(Schedule!AE14=20,Schedule!$AQ$18,IF(Schedule!AE14=21,Schedule!#REF!))))))))))))))))))))))</f>
        <v>Art(1)/ Stop 7</v>
      </c>
      <c r="AE14" s="72" t="str">
        <f>IF(Schedule!AF14=0,Schedule!$AQ$3,IF(Schedule!AF14=1,Schedule!$AQ$4,IF(Schedule!AF14=2,Schedule!$AQ$5,IF(Schedule!AF14=3,Schedule!$AQ$6,IF(Schedule!AF14=4,Schedule!$AQ$7,IF(Schedule!AF14=5,Schedule!$AQ$8,IF(Schedule!AF14=6,Schedule!$AQ$9,IF(Schedule!AF14=7,Schedule!$AQ$10,IF(Schedule!AF14=8,Schedule!#REF!,IF(Schedule!AF14=9,Schedule!$AQ$12,IF(Schedule!AF14=10,Schedule!$AQ$13,IF(Schedule!AF14=11,Schedule!#REF!,IF(Schedule!AF14=12,Schedule!#REF!,IF(Schedule!AF14=13,Schedule!$AQ$14,IF(Schedule!AF14=14,Schedule!#REF!,IF(Schedule!AF14=15,Schedule!$AQ$15,IF(Schedule!AF14=16,Schedule!#REF!,IF(Schedule!AF14=17,Schedule!#REF!,IF(Schedule!AF14=18,Schedule!$AQ$16,IF(Schedule!AF14=19,Schedule!$AQ$17,IF(Schedule!AF14=20,Schedule!$AQ$18,IF(Schedule!AF14=21,Schedule!#REF!))))))))))))))))))))))</f>
        <v>OFF</v>
      </c>
      <c r="AF14" s="72" t="str">
        <f>IF(Schedule!AG14=0,Schedule!$AQ$3,IF(Schedule!AG14=1,Schedule!$AQ$4,IF(Schedule!AG14=2,Schedule!$AQ$5,IF(Schedule!AG14=3,Schedule!$AQ$6,IF(Schedule!AG14=4,Schedule!$AQ$7,IF(Schedule!AG14=5,Schedule!$AQ$8,IF(Schedule!AG14=6,Schedule!$AQ$9,IF(Schedule!AG14=7,Schedule!$AQ$10,IF(Schedule!AG14=8,Schedule!#REF!,IF(Schedule!AG14=9,Schedule!$AQ$12,IF(Schedule!AG14=10,Schedule!$AQ$13,IF(Schedule!AG14=11,Schedule!#REF!,IF(Schedule!AG14=12,Schedule!#REF!,IF(Schedule!AG14=13,Schedule!$AQ$14,IF(Schedule!AG14=14,Schedule!#REF!,IF(Schedule!AG14=15,Schedule!$AQ$15,IF(Schedule!AG14=16,Schedule!#REF!,IF(Schedule!AG14=17,Schedule!#REF!,IF(Schedule!AG14=18,Schedule!$AQ$16,IF(Schedule!AG14=19,Schedule!$AQ$17,IF(Schedule!AG14=20,Schedule!$AQ$18,IF(Schedule!AG14=21,Schedule!#REF!))))))))))))))))))))))</f>
        <v>OFF</v>
      </c>
      <c r="AG14" s="72" t="str">
        <f>IF(Schedule!AH14=0,Schedule!$AQ$3,IF(Schedule!AH14=1,Schedule!$AQ$4,IF(Schedule!AH14=2,Schedule!$AQ$5,IF(Schedule!AH14=3,Schedule!$AQ$6,IF(Schedule!AH14=4,Schedule!$AQ$7,IF(Schedule!AH14=5,Schedule!$AQ$8,IF(Schedule!AH14=6,Schedule!$AQ$9,IF(Schedule!AH14=7,Schedule!$AQ$10,IF(Schedule!AH14=8,Schedule!#REF!,IF(Schedule!AH14=9,Schedule!$AQ$12,IF(Schedule!AH14=10,Schedule!$AQ$13,IF(Schedule!AH14=11,Schedule!#REF!,IF(Schedule!AH14=12,Schedule!#REF!,IF(Schedule!AH14=13,Schedule!$AQ$14,IF(Schedule!AH14=14,Schedule!#REF!,IF(Schedule!AH14=15,Schedule!$AQ$15,IF(Schedule!AH14=16,Schedule!#REF!,IF(Schedule!AH14=17,Schedule!#REF!,IF(Schedule!AH14=18,Schedule!$AQ$16,IF(Schedule!AH14=19,Schedule!$AQ$17,IF(Schedule!AH14=20,Schedule!$AQ$18,IF(Schedule!AH14=21,Schedule!#REF!))))))))))))))))))))))</f>
        <v>OFF</v>
      </c>
      <c r="AH14" s="72" t="str">
        <f>IF(Schedule!AI14=0,Schedule!$AQ$3,IF(Schedule!AI14=1,Schedule!$AQ$4,IF(Schedule!AI14=2,Schedule!$AQ$5,IF(Schedule!AI14=3,Schedule!$AQ$6,IF(Schedule!AI14=4,Schedule!$AQ$7,IF(Schedule!AI14=5,Schedule!$AQ$8,IF(Schedule!AI14=6,Schedule!$AQ$9,IF(Schedule!AI14=7,Schedule!$AQ$10,IF(Schedule!AI14=8,Schedule!#REF!,IF(Schedule!AI14=9,Schedule!$AQ$12,IF(Schedule!AI14=10,Schedule!$AQ$13,IF(Schedule!AI14=11,Schedule!#REF!,IF(Schedule!AI14=12,Schedule!#REF!,IF(Schedule!AI14=13,Schedule!$AQ$14,IF(Schedule!AI14=14,Schedule!#REF!,IF(Schedule!AI14=15,Schedule!$AQ$15,IF(Schedule!AI14=16,Schedule!#REF!,IF(Schedule!AI14=17,Schedule!#REF!,IF(Schedule!AI14=18,Schedule!$AQ$16,IF(Schedule!AI14=19,Schedule!$AQ$17,IF(Schedule!AI14=20,Schedule!$AQ$18,IF(Schedule!AI14=21,Schedule!#REF!))))))))))))))))))))))</f>
        <v xml:space="preserve">VC(1)/ Booth </v>
      </c>
      <c r="AI14" s="72" t="e">
        <f>IF(Schedule!AJ14=0,Schedule!$AQ$3,IF(Schedule!AJ14=1,Schedule!$AQ$4,IF(Schedule!AJ14=2,Schedule!$AQ$5,IF(Schedule!AJ14=3,Schedule!$AQ$6,IF(Schedule!AJ14=4,Schedule!$AQ$7,IF(Schedule!AJ14=5,Schedule!$AQ$8,IF(Schedule!AJ14=6,Schedule!$AQ$9,IF(Schedule!AJ14=7,Schedule!$AQ$10,IF(Schedule!AJ14=8,Schedule!#REF!,IF(Schedule!AJ14=9,Schedule!$AQ$12,IF(Schedule!AJ14=10,Schedule!$AQ$13,IF(Schedule!AJ14=11,Schedule!#REF!,IF(Schedule!AJ14=12,Schedule!#REF!,IF(Schedule!AJ14=13,Schedule!$AQ$14,IF(Schedule!AJ14=14,Schedule!#REF!,IF(Schedule!AJ14=15,Schedule!$AQ$15,IF(Schedule!AJ14=16,Schedule!#REF!,IF(Schedule!AJ14=17,Schedule!#REF!,IF(Schedule!AJ14=18,Schedule!$AQ$16,IF(Schedule!AJ14=19,Schedule!$AQ$17,IF(Schedule!AJ14=20,Schedule!$AQ$18,IF(Schedule!AJ14=21,Schedule!#REF!))))))))))))))))))))))</f>
        <v>#REF!</v>
      </c>
      <c r="AJ14" s="72" t="str">
        <f>IF(Schedule!AK14=0,Schedule!$AQ$3,IF(Schedule!AK14=1,Schedule!$AQ$4,IF(Schedule!AK14=2,Schedule!$AQ$5,IF(Schedule!AK14=3,Schedule!$AQ$6,IF(Schedule!AK14=4,Schedule!$AQ$7,IF(Schedule!AK14=5,Schedule!$AQ$8,IF(Schedule!AK14=6,Schedule!$AQ$9,IF(Schedule!AK14=7,Schedule!$AQ$10,IF(Schedule!AK14=8,Schedule!#REF!,IF(Schedule!AK14=9,Schedule!$AQ$12,IF(Schedule!AK14=10,Schedule!$AQ$13,IF(Schedule!AK14=11,Schedule!#REF!,IF(Schedule!AK14=12,Schedule!#REF!,IF(Schedule!AK14=13,Schedule!$AQ$14,IF(Schedule!AK14=14,Schedule!#REF!,IF(Schedule!AK14=15,Schedule!$AQ$15,IF(Schedule!AK14=16,Schedule!#REF!,IF(Schedule!AK14=17,Schedule!#REF!,IF(Schedule!AK14=18,Schedule!$AQ$16,IF(Schedule!AK14=19,Schedule!$AQ$17,IF(Schedule!AK14=20,Schedule!$AQ$18,IF(Schedule!AK14=21,Schedule!#REF!))))))))))))))))))))))</f>
        <v>OFF</v>
      </c>
      <c r="AK14" s="72" t="str">
        <f>IF(Schedule!AL14=0,Schedule!$AQ$3,IF(Schedule!AL14=1,Schedule!$AQ$4,IF(Schedule!AL14=2,Schedule!$AQ$5,IF(Schedule!AL14=3,Schedule!$AQ$6,IF(Schedule!AL14=4,Schedule!$AQ$7,IF(Schedule!AL14=5,Schedule!$AQ$8,IF(Schedule!AL14=6,Schedule!$AQ$9,IF(Schedule!AL14=7,Schedule!$AQ$10,IF(Schedule!AL14=8,Schedule!#REF!,IF(Schedule!AL14=9,Schedule!$AQ$12,IF(Schedule!AL14=10,Schedule!$AQ$13,IF(Schedule!AL14=11,Schedule!#REF!,IF(Schedule!AL14=12,Schedule!#REF!,IF(Schedule!AL14=13,Schedule!$AQ$14,IF(Schedule!AL14=14,Schedule!#REF!,IF(Schedule!AL14=15,Schedule!$AQ$15,IF(Schedule!AL14=16,Schedule!#REF!,IF(Schedule!AL14=17,Schedule!#REF!,IF(Schedule!AL14=18,Schedule!$AQ$16,IF(Schedule!AL14=19,Schedule!$AQ$17,IF(Schedule!AL14=20,Schedule!$AQ$18,IF(Schedule!AL14=21,Schedule!#REF!))))))))))))))))))))))</f>
        <v>OFF</v>
      </c>
    </row>
    <row r="15" spans="1:37" ht="22" customHeight="1" x14ac:dyDescent="0.2">
      <c r="A15" s="67" t="str">
        <f>Schedule!D14</f>
        <v>Doe</v>
      </c>
      <c r="B15" s="67" t="str">
        <f>Schedule!C14</f>
        <v>Jane</v>
      </c>
      <c r="C15" s="54"/>
      <c r="D15" s="54"/>
      <c r="E15" s="54"/>
      <c r="F15" s="64"/>
      <c r="G15" s="72" t="str">
        <f>IF(Schedule!E15=0,Schedule!$AQ$3,IF(Schedule!E15=1,Schedule!$AQ$4,IF(Schedule!E15=2,Schedule!$AQ$5,IF(Schedule!E15=3,Schedule!$AQ$6,IF(Schedule!E15=4,Schedule!$AQ$7,IF(Schedule!E15=5,Schedule!$AQ$8,IF(Schedule!E15=6,Schedule!$AQ$9,IF(Schedule!E15=7,Schedule!$AQ$10,IF(Schedule!E15=8,Schedule!#REF!,IF(Schedule!E15=9,Schedule!$AQ$12,IF(Schedule!E15=10,Schedule!$AQ$13,IF(Schedule!E15=11,Schedule!#REF!,IF(Schedule!E15=12,Schedule!#REF!,IF(Schedule!E15=13,Schedule!$AQ$14,IF(Schedule!E15=14,Schedule!#REF!,IF(Schedule!E15=15,Schedule!$AQ$15,IF(Schedule!E15=16,Schedule!#REF!,IF(Schedule!E15=17,Schedule!#REF!,IF(Schedule!E15=18,Schedule!$AQ$16,IF(Schedule!E15=19,Schedule!$AQ$17,IF(Schedule!E15=20,Schedule!$AQ$18,IF(Schedule!E15=21,Schedule!#REF!))))))))))))))))))))))</f>
        <v>OFF</v>
      </c>
      <c r="H15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5" s="72" t="str">
        <f>IF(Schedule!F5=0,Schedule!$AQ$3,IF(Schedule!F5=1,Schedule!$AQ$4,IF(Schedule!F5=2,Schedule!$AQ$5,IF(Schedule!F5=3,Schedule!$AQ$6,IF(Schedule!F5=4,Schedule!$AQ$7,IF(Schedule!F5=5,Schedule!$AQ$8,IF(Schedule!F5=6,Schedule!$AQ$9,IF(Schedule!F5=7,Schedule!$AQ$10,IF(Schedule!F5=8,Schedule!#REF!,IF(Schedule!F5=9,Schedule!$AQ$12,IF(Schedule!F5=10,Schedule!$AQ$13,IF(Schedule!F5=11,Schedule!#REF!,IF(Schedule!F5=12,Schedule!#REF!,IF(Schedule!F5=13,Schedule!$AQ$14,IF(Schedule!F5=14,Schedule!#REF!,IF(Schedule!F5=15,Schedule!$AQ$15,IF(Schedule!F5=16,Schedule!#REF!,IF(Schedule!F5=17,Schedule!#REF!,IF(Schedule!F5=18,Schedule!$AQ$16,IF(Schedule!F5=19,Schedule!$AQ$17,IF(Schedule!F5=20,Schedule!$AQ$18,IF(Schedule!F5=21,Schedule!#REF!))))))))))))))))))))))</f>
        <v>OFF</v>
      </c>
      <c r="J15" s="72" t="str">
        <f>IF(Schedule!J18=0,Schedule!$AQ$3,IF(Schedule!J18=1,Schedule!$AQ$4,IF(Schedule!J18=2,Schedule!$AQ$5,IF(Schedule!J18=3,Schedule!$AQ$6,IF(Schedule!J18=4,Schedule!$AQ$7,IF(Schedule!J18=5,Schedule!$AQ$8,IF(Schedule!J18=6,Schedule!$AQ$9,IF(Schedule!J18=7,Schedule!$AQ$10,IF(Schedule!J18=8,Schedule!#REF!,IF(Schedule!J18=9,Schedule!$AQ$12,IF(Schedule!J18=10,Schedule!$AQ$13,IF(Schedule!J18=11,Schedule!#REF!,IF(Schedule!J18=12,Schedule!#REF!,IF(Schedule!J18=13,Schedule!$AQ$14,IF(Schedule!J18=14,Schedule!#REF!,IF(Schedule!J18=15,Schedule!$AQ$15,IF(Schedule!J18=16,Schedule!#REF!,IF(Schedule!J18=17,Schedule!#REF!,IF(Schedule!J18=18,Schedule!$AQ$16,IF(Schedule!J18=19,Schedule!$AQ$17,IF(Schedule!J18=20,Schedule!$AQ$18,IF(Schedule!J18=21,Schedule!#REF!))))))))))))))))))))))</f>
        <v>OFF</v>
      </c>
      <c r="K15" s="72" t="str">
        <f>IF(Schedule!K15=0,Schedule!$AQ$3,IF(Schedule!K15=1,Schedule!$AQ$4,IF(Schedule!K15=2,Schedule!$AQ$5,IF(Schedule!K15=3,Schedule!$AQ$6,IF(Schedule!K15=4,Schedule!$AQ$7,IF(Schedule!K15=5,Schedule!$AQ$8,IF(Schedule!K15=6,Schedule!$AQ$9,IF(Schedule!K15=7,Schedule!$AQ$10,IF(Schedule!K15=8,Schedule!#REF!,IF(Schedule!K15=9,Schedule!$AQ$12,IF(Schedule!K15=10,Schedule!$AQ$13,IF(Schedule!K15=11,Schedule!#REF!,IF(Schedule!K15=12,Schedule!#REF!,IF(Schedule!K15=13,Schedule!$AQ$14,IF(Schedule!K15=14,Schedule!#REF!,IF(Schedule!K15=15,Schedule!$AQ$15,IF(Schedule!K15=16,Schedule!#REF!,IF(Schedule!K15=17,Schedule!#REF!,IF(Schedule!K15=18,Schedule!$AQ$16,IF(Schedule!K15=19,Schedule!$AQ$17,IF(Schedule!K15=20,Schedule!$AQ$18,IF(Schedule!K15=21,Schedule!#REF!))))))))))))))))))))))</f>
        <v>Stop 14(2)</v>
      </c>
      <c r="L15" s="72" t="str">
        <f>IF(Schedule!M15=0,Schedule!$AQ$3,IF(Schedule!M15=1,Schedule!$AQ$4,IF(Schedule!M15=2,Schedule!$AQ$5,IF(Schedule!M15=3,Schedule!$AQ$6,IF(Schedule!M15=4,Schedule!$AQ$7,IF(Schedule!M15=5,Schedule!$AQ$8,IF(Schedule!M15=6,Schedule!$AQ$9,IF(Schedule!M15=7,Schedule!$AQ$10,IF(Schedule!M15=8,Schedule!#REF!,IF(Schedule!M15=9,Schedule!$AQ$12,IF(Schedule!M15=10,Schedule!$AQ$13,IF(Schedule!M15=11,Schedule!#REF!,IF(Schedule!M15=12,Schedule!#REF!,IF(Schedule!M15=13,Schedule!$AQ$14,IF(Schedule!M15=14,Schedule!#REF!,IF(Schedule!M15=15,Schedule!$AQ$15,IF(Schedule!M15=16,Schedule!#REF!,IF(Schedule!M15=17,Schedule!#REF!,IF(Schedule!M15=18,Schedule!$AQ$16,IF(Schedule!M15=19,Schedule!$AQ$17,IF(Schedule!M15=20,Schedule!$AQ$18,IF(Schedule!M15=21,Schedule!#REF!))))))))))))))))))))))</f>
        <v>OFF</v>
      </c>
      <c r="M15" s="72" t="str">
        <f>IF(Schedule!N15=0,Schedule!$AQ$3,IF(Schedule!N15=1,Schedule!$AQ$4,IF(Schedule!N15=2,Schedule!$AQ$5,IF(Schedule!N15=3,Schedule!$AQ$6,IF(Schedule!N15=4,Schedule!$AQ$7,IF(Schedule!N15=5,Schedule!$AQ$8,IF(Schedule!N15=6,Schedule!$AQ$9,IF(Schedule!N15=7,Schedule!$AQ$10,IF(Schedule!N15=8,Schedule!#REF!,IF(Schedule!N15=9,Schedule!$AQ$12,IF(Schedule!N15=10,Schedule!$AQ$13,IF(Schedule!N15=11,Schedule!#REF!,IF(Schedule!N15=12,Schedule!#REF!,IF(Schedule!N15=13,Schedule!$AQ$14,IF(Schedule!N15=14,Schedule!#REF!,IF(Schedule!N15=15,Schedule!$AQ$15,IF(Schedule!N15=16,Schedule!#REF!,IF(Schedule!N15=17,Schedule!#REF!,IF(Schedule!N15=18,Schedule!$AQ$16,IF(Schedule!N15=19,Schedule!$AQ$17,IF(Schedule!N15=20,Schedule!$AQ$18,IF(Schedule!N15=21,Schedule!#REF!))))))))))))))))))))))</f>
        <v>OFF</v>
      </c>
      <c r="N15" s="72" t="str">
        <f>IF(Schedule!O15=0,Schedule!$AQ$3,IF(Schedule!O15=1,Schedule!$AQ$4,IF(Schedule!O15=2,Schedule!$AQ$5,IF(Schedule!O15=3,Schedule!$AQ$6,IF(Schedule!O15=4,Schedule!$AQ$7,IF(Schedule!O15=5,Schedule!$AQ$8,IF(Schedule!O15=6,Schedule!$AQ$9,IF(Schedule!O15=7,Schedule!$AQ$10,IF(Schedule!O15=8,Schedule!#REF!,IF(Schedule!O15=9,Schedule!$AQ$12,IF(Schedule!O15=10,Schedule!$AQ$13,IF(Schedule!O15=11,Schedule!#REF!,IF(Schedule!O15=12,Schedule!#REF!,IF(Schedule!O15=13,Schedule!$AQ$14,IF(Schedule!O15=14,Schedule!#REF!,IF(Schedule!O15=15,Schedule!$AQ$15,IF(Schedule!O15=16,Schedule!#REF!,IF(Schedule!O15=17,Schedule!#REF!,IF(Schedule!O15=18,Schedule!$AQ$16,IF(Schedule!O15=19,Schedule!$AQ$17,IF(Schedule!O15=20,Schedule!$AQ$18,IF(Schedule!O15=21,Schedule!#REF!))))))))))))))))))))))</f>
        <v xml:space="preserve">Booth(1)/ VC </v>
      </c>
      <c r="O15" s="72" t="str">
        <f>IF(Schedule!P15=0,Schedule!$AQ$3,IF(Schedule!P15=1,Schedule!$AQ$4,IF(Schedule!P15=2,Schedule!$AQ$5,IF(Schedule!P15=3,Schedule!$AQ$6,IF(Schedule!P15=4,Schedule!$AQ$7,IF(Schedule!P15=5,Schedule!$AQ$8,IF(Schedule!P15=6,Schedule!$AQ$9,IF(Schedule!P15=7,Schedule!$AQ$10,IF(Schedule!P15=8,Schedule!#REF!,IF(Schedule!P15=9,Schedule!$AQ$12,IF(Schedule!P15=10,Schedule!$AQ$13,IF(Schedule!P15=11,Schedule!#REF!,IF(Schedule!P15=12,Schedule!#REF!,IF(Schedule!P15=13,Schedule!$AQ$14,IF(Schedule!P15=14,Schedule!#REF!,IF(Schedule!P15=15,Schedule!$AQ$15,IF(Schedule!P15=16,Schedule!#REF!,IF(Schedule!P15=17,Schedule!#REF!,IF(Schedule!P15=18,Schedule!$AQ$16,IF(Schedule!P15=19,Schedule!$AQ$17,IF(Schedule!P15=20,Schedule!$AQ$18,IF(Schedule!P15=21,Schedule!#REF!))))))))))))))))))))))</f>
        <v>Stop 7(2)</v>
      </c>
      <c r="P15" s="72" t="str">
        <f>IF(Schedule!Q15=0,Schedule!$AQ$3,IF(Schedule!Q15=1,Schedule!$AQ$4,IF(Schedule!Q15=2,Schedule!$AQ$5,IF(Schedule!Q15=3,Schedule!$AQ$6,IF(Schedule!Q15=4,Schedule!$AQ$7,IF(Schedule!Q15=5,Schedule!$AQ$8,IF(Schedule!Q15=6,Schedule!$AQ$9,IF(Schedule!Q15=7,Schedule!$AQ$10,IF(Schedule!Q15=8,Schedule!#REF!,IF(Schedule!Q15=9,Schedule!$AQ$12,IF(Schedule!Q15=10,Schedule!$AQ$13,IF(Schedule!Q15=11,Schedule!#REF!,IF(Schedule!Q15=12,Schedule!#REF!,IF(Schedule!Q15=13,Schedule!$AQ$14,IF(Schedule!Q15=14,Schedule!#REF!,IF(Schedule!Q15=15,Schedule!$AQ$15,IF(Schedule!Q15=16,Schedule!#REF!,IF(Schedule!Q15=17,Schedule!#REF!,IF(Schedule!Q15=18,Schedule!$AQ$16,IF(Schedule!Q15=19,Schedule!$AQ$17,IF(Schedule!Q15=20,Schedule!$AQ$18,IF(Schedule!Q15=21,Schedule!#REF!))))))))))))))))))))))</f>
        <v>OFF</v>
      </c>
      <c r="Q15" s="72" t="str">
        <f>IF(Schedule!R15=0,Schedule!$AQ$3,IF(Schedule!R15=1,Schedule!$AQ$4,IF(Schedule!R15=2,Schedule!$AQ$5,IF(Schedule!R15=3,Schedule!$AQ$6,IF(Schedule!R15=4,Schedule!$AQ$7,IF(Schedule!R15=5,Schedule!$AQ$8,IF(Schedule!R15=6,Schedule!$AQ$9,IF(Schedule!R15=7,Schedule!$AQ$10,IF(Schedule!R15=8,Schedule!#REF!,IF(Schedule!R15=9,Schedule!$AQ$12,IF(Schedule!R15=10,Schedule!$AQ$13,IF(Schedule!R15=11,Schedule!#REF!,IF(Schedule!R15=12,Schedule!#REF!,IF(Schedule!R15=13,Schedule!$AQ$14,IF(Schedule!R15=14,Schedule!#REF!,IF(Schedule!R15=15,Schedule!$AQ$15,IF(Schedule!R15=16,Schedule!#REF!,IF(Schedule!R15=17,Schedule!#REF!,IF(Schedule!R15=18,Schedule!$AQ$16,IF(Schedule!R15=19,Schedule!$AQ$17,IF(Schedule!R15=20,Schedule!$AQ$18,IF(Schedule!R15=21,Schedule!#REF!))))))))))))))))))))))</f>
        <v>OFF</v>
      </c>
      <c r="R15" s="72" t="str">
        <f>IF(Schedule!S15=0,Schedule!$AQ$3,IF(Schedule!S15=1,Schedule!$AQ$4,IF(Schedule!S15=2,Schedule!$AQ$5,IF(Schedule!S15=3,Schedule!$AQ$6,IF(Schedule!S15=4,Schedule!$AQ$7,IF(Schedule!S15=5,Schedule!$AQ$8,IF(Schedule!S15=6,Schedule!$AQ$9,IF(Schedule!S15=7,Schedule!$AQ$10,IF(Schedule!S15=8,Schedule!#REF!,IF(Schedule!S15=9,Schedule!$AQ$12,IF(Schedule!S15=10,Schedule!$AQ$13,IF(Schedule!S15=11,Schedule!#REF!,IF(Schedule!S15=12,Schedule!#REF!,IF(Schedule!S15=13,Schedule!$AQ$14,IF(Schedule!S15=14,Schedule!#REF!,IF(Schedule!S15=15,Schedule!$AQ$15,IF(Schedule!S15=16,Schedule!#REF!,IF(Schedule!S15=17,Schedule!#REF!,IF(Schedule!S15=18,Schedule!$AQ$16,IF(Schedule!S15=19,Schedule!$AQ$17,IF(Schedule!S15=20,Schedule!$AQ$18,IF(Schedule!S15=21,Schedule!#REF!))))))))))))))))))))))</f>
        <v xml:space="preserve">Booth(2)/ VC </v>
      </c>
      <c r="S15" s="72" t="e">
        <f>IF(Schedule!T15=0,Schedule!$AQ$3,IF(Schedule!T15=1,Schedule!$AQ$4,IF(Schedule!T15=2,Schedule!$AQ$5,IF(Schedule!T15=3,Schedule!$AQ$6,IF(Schedule!T15=4,Schedule!$AQ$7,IF(Schedule!T15=5,Schedule!$AQ$8,IF(Schedule!T15=6,Schedule!$AQ$9,IF(Schedule!T15=7,Schedule!$AQ$10,IF(Schedule!T15=8,Schedule!#REF!,IF(Schedule!T15=9,Schedule!$AQ$12,IF(Schedule!T15=10,Schedule!$AQ$13,IF(Schedule!T15=11,Schedule!#REF!,IF(Schedule!T15=12,Schedule!#REF!,IF(Schedule!T15=13,Schedule!$AQ$14,IF(Schedule!T15=14,Schedule!#REF!,IF(Schedule!T15=15,Schedule!$AQ$15,IF(Schedule!T15=16,Schedule!#REF!,IF(Schedule!T15=17,Schedule!#REF!,IF(Schedule!T15=18,Schedule!$AQ$16,IF(Schedule!T15=19,Schedule!$AQ$17,IF(Schedule!T15=20,Schedule!$AQ$18,IF(Schedule!T15=21,Schedule!#REF!))))))))))))))))))))))</f>
        <v>#REF!</v>
      </c>
      <c r="T15" s="72" t="str">
        <f>IF(Schedule!U15=0,Schedule!$AQ$3,IF(Schedule!U15=1,Schedule!$AQ$4,IF(Schedule!U15=2,Schedule!$AQ$5,IF(Schedule!U15=3,Schedule!$AQ$6,IF(Schedule!U15=4,Schedule!$AQ$7,IF(Schedule!U15=5,Schedule!$AQ$8,IF(Schedule!U15=6,Schedule!$AQ$9,IF(Schedule!U15=7,Schedule!$AQ$10,IF(Schedule!U15=8,Schedule!#REF!,IF(Schedule!U15=9,Schedule!$AQ$12,IF(Schedule!U15=10,Schedule!$AQ$13,IF(Schedule!U15=11,Schedule!#REF!,IF(Schedule!U15=12,Schedule!#REF!,IF(Schedule!U15=13,Schedule!$AQ$14,IF(Schedule!U15=14,Schedule!#REF!,IF(Schedule!U15=15,Schedule!$AQ$15,IF(Schedule!U15=16,Schedule!#REF!,IF(Schedule!U15=17,Schedule!#REF!,IF(Schedule!U15=18,Schedule!$AQ$16,IF(Schedule!U15=19,Schedule!$AQ$17,IF(Schedule!U15=20,Schedule!$AQ$18,IF(Schedule!U15=21,Schedule!#REF!))))))))))))))))))))))</f>
        <v>Stop 14(2)</v>
      </c>
      <c r="U15" s="72" t="str">
        <f>IF(Schedule!V15=0,Schedule!$AQ$3,IF(Schedule!V15=1,Schedule!$AQ$4,IF(Schedule!V15=2,Schedule!$AQ$5,IF(Schedule!V15=3,Schedule!$AQ$6,IF(Schedule!V15=4,Schedule!$AQ$7,IF(Schedule!V15=5,Schedule!$AQ$8,IF(Schedule!V15=6,Schedule!$AQ$9,IF(Schedule!V15=7,Schedule!$AQ$10,IF(Schedule!V15=8,Schedule!#REF!,IF(Schedule!V15=9,Schedule!$AQ$12,IF(Schedule!V15=10,Schedule!$AQ$13,IF(Schedule!V15=11,Schedule!#REF!,IF(Schedule!V15=12,Schedule!#REF!,IF(Schedule!V15=13,Schedule!$AQ$14,IF(Schedule!V15=14,Schedule!#REF!,IF(Schedule!V15=15,Schedule!$AQ$15,IF(Schedule!V15=16,Schedule!#REF!,IF(Schedule!V15=17,Schedule!#REF!,IF(Schedule!V15=18,Schedule!$AQ$16,IF(Schedule!V15=19,Schedule!$AQ$17,IF(Schedule!V15=20,Schedule!$AQ$18,IF(Schedule!V15=21,Schedule!#REF!))))))))))))))))))))))</f>
        <v>OFF</v>
      </c>
      <c r="V15" s="72" t="str">
        <f>IF(Schedule!W15=0,Schedule!$AQ$3,IF(Schedule!W15=1,Schedule!$AQ$4,IF(Schedule!W15=2,Schedule!$AQ$5,IF(Schedule!W15=3,Schedule!$AQ$6,IF(Schedule!W15=4,Schedule!$AQ$7,IF(Schedule!W15=5,Schedule!$AQ$8,IF(Schedule!W15=6,Schedule!$AQ$9,IF(Schedule!W15=7,Schedule!$AQ$10,IF(Schedule!W15=8,Schedule!#REF!,IF(Schedule!W15=9,Schedule!$AQ$12,IF(Schedule!W15=10,Schedule!$AQ$13,IF(Schedule!W15=11,Schedule!#REF!,IF(Schedule!W15=12,Schedule!#REF!,IF(Schedule!W15=13,Schedule!$AQ$14,IF(Schedule!W15=14,Schedule!#REF!,IF(Schedule!W15=15,Schedule!$AQ$15,IF(Schedule!W15=16,Schedule!#REF!,IF(Schedule!W15=17,Schedule!#REF!,IF(Schedule!W15=18,Schedule!$AQ$16,IF(Schedule!W15=19,Schedule!$AQ$17,IF(Schedule!W15=20,Schedule!$AQ$18,IF(Schedule!W15=21,Schedule!#REF!))))))))))))))))))))))</f>
        <v>OFF</v>
      </c>
      <c r="W15" s="72" t="str">
        <f>IF(Schedule!X15=0,Schedule!$AQ$3,IF(Schedule!X15=1,Schedule!$AQ$4,IF(Schedule!X15=2,Schedule!$AQ$5,IF(Schedule!X15=3,Schedule!$AQ$6,IF(Schedule!X15=4,Schedule!$AQ$7,IF(Schedule!X15=5,Schedule!$AQ$8,IF(Schedule!X15=6,Schedule!$AQ$9,IF(Schedule!X15=7,Schedule!$AQ$10,IF(Schedule!X15=8,Schedule!#REF!,IF(Schedule!X15=9,Schedule!$AQ$12,IF(Schedule!X15=10,Schedule!$AQ$13,IF(Schedule!X15=11,Schedule!#REF!,IF(Schedule!X15=12,Schedule!#REF!,IF(Schedule!X15=13,Schedule!$AQ$14,IF(Schedule!X15=14,Schedule!#REF!,IF(Schedule!X15=15,Schedule!$AQ$15,IF(Schedule!X15=16,Schedule!#REF!,IF(Schedule!X15=17,Schedule!#REF!,IF(Schedule!X15=18,Schedule!$AQ$16,IF(Schedule!X15=19,Schedule!$AQ$17,IF(Schedule!X15=20,Schedule!$AQ$18,IF(Schedule!X15=21,Schedule!#REF!))))))))))))))))))))))</f>
        <v>Art(1)/ Stop 7</v>
      </c>
      <c r="X15" s="72" t="str">
        <f>IF(Schedule!Y15=0,Schedule!$AQ$3,IF(Schedule!Y15=1,Schedule!$AQ$4,IF(Schedule!Y15=2,Schedule!$AQ$5,IF(Schedule!Y15=3,Schedule!$AQ$6,IF(Schedule!Y15=4,Schedule!$AQ$7,IF(Schedule!Y15=5,Schedule!$AQ$8,IF(Schedule!Y15=6,Schedule!$AQ$9,IF(Schedule!Y15=7,Schedule!$AQ$10,IF(Schedule!Y15=8,Schedule!#REF!,IF(Schedule!Y15=9,Schedule!$AQ$12,IF(Schedule!Y15=10,Schedule!$AQ$13,IF(Schedule!Y15=11,Schedule!#REF!,IF(Schedule!Y15=12,Schedule!#REF!,IF(Schedule!Y15=13,Schedule!$AQ$14,IF(Schedule!Y15=14,Schedule!#REF!,IF(Schedule!Y15=15,Schedule!$AQ$15,IF(Schedule!Y15=16,Schedule!#REF!,IF(Schedule!Y15=17,Schedule!#REF!,IF(Schedule!Y15=18,Schedule!$AQ$16,IF(Schedule!Y15=19,Schedule!$AQ$17,IF(Schedule!Y15=20,Schedule!$AQ$18,IF(Schedule!Y15=21,Schedule!#REF!))))))))))))))))))))))</f>
        <v>Stop 7(2)</v>
      </c>
      <c r="Y15" s="72" t="str">
        <f>IF(Schedule!Z15=0,Schedule!$AQ$3,IF(Schedule!Z15=1,Schedule!$AQ$4,IF(Schedule!Z15=2,Schedule!$AQ$5,IF(Schedule!Z15=3,Schedule!$AQ$6,IF(Schedule!Z15=4,Schedule!$AQ$7,IF(Schedule!Z15=5,Schedule!$AQ$8,IF(Schedule!Z15=6,Schedule!$AQ$9,IF(Schedule!Z15=7,Schedule!$AQ$10,IF(Schedule!Z15=8,Schedule!#REF!,IF(Schedule!Z15=9,Schedule!$AQ$12,IF(Schedule!Z15=10,Schedule!$AQ$13,IF(Schedule!Z15=11,Schedule!#REF!,IF(Schedule!Z15=12,Schedule!#REF!,IF(Schedule!Z15=13,Schedule!$AQ$14,IF(Schedule!Z15=14,Schedule!#REF!,IF(Schedule!Z15=15,Schedule!$AQ$15,IF(Schedule!Z15=16,Schedule!#REF!,IF(Schedule!Z15=17,Schedule!#REF!,IF(Schedule!Z15=18,Schedule!$AQ$16,IF(Schedule!Z15=19,Schedule!$AQ$17,IF(Schedule!Z15=20,Schedule!$AQ$18,IF(Schedule!Z15=21,Schedule!#REF!))))))))))))))))))))))</f>
        <v>Stop 14(2)</v>
      </c>
      <c r="Z15" s="72" t="str">
        <f>IF(Schedule!AA15=0,Schedule!$AQ$3,IF(Schedule!AA15=1,Schedule!$AQ$4,IF(Schedule!AA15=2,Schedule!$AQ$5,IF(Schedule!AA15=3,Schedule!$AQ$6,IF(Schedule!AA15=4,Schedule!$AQ$7,IF(Schedule!AA15=5,Schedule!$AQ$8,IF(Schedule!AA15=6,Schedule!$AQ$9,IF(Schedule!AA15=7,Schedule!$AQ$10,IF(Schedule!AA15=8,Schedule!#REF!,IF(Schedule!AA15=9,Schedule!$AQ$12,IF(Schedule!AA15=10,Schedule!$AQ$13,IF(Schedule!AA15=11,Schedule!#REF!,IF(Schedule!AA15=12,Schedule!#REF!,IF(Schedule!AA15=13,Schedule!$AQ$14,IF(Schedule!AA15=14,Schedule!#REF!,IF(Schedule!AA15=15,Schedule!$AQ$15,IF(Schedule!AA15=16,Schedule!#REF!,IF(Schedule!AA15=17,Schedule!#REF!,IF(Schedule!AA15=18,Schedule!$AQ$16,IF(Schedule!AA15=19,Schedule!$AQ$17,IF(Schedule!AA15=20,Schedule!$AQ$18,IF(Schedule!AA15=21,Schedule!#REF!))))))))))))))))))))))</f>
        <v>OFF</v>
      </c>
      <c r="AA15" s="72" t="str">
        <f>IF(Schedule!AB15=0,Schedule!$AQ$3,IF(Schedule!AB15=1,Schedule!$AQ$4,IF(Schedule!AB15=2,Schedule!$AQ$5,IF(Schedule!AB15=3,Schedule!$AQ$6,IF(Schedule!AB15=4,Schedule!$AQ$7,IF(Schedule!AB15=5,Schedule!$AQ$8,IF(Schedule!AB15=6,Schedule!$AQ$9,IF(Schedule!AB15=7,Schedule!$AQ$10,IF(Schedule!AB15=8,Schedule!#REF!,IF(Schedule!AB15=9,Schedule!$AQ$12,IF(Schedule!AB15=10,Schedule!$AQ$13,IF(Schedule!AB15=11,Schedule!#REF!,IF(Schedule!AB15=12,Schedule!#REF!,IF(Schedule!AB15=13,Schedule!$AQ$14,IF(Schedule!AB15=14,Schedule!#REF!,IF(Schedule!AB15=15,Schedule!$AQ$15,IF(Schedule!AB15=16,Schedule!#REF!,IF(Schedule!AB15=17,Schedule!#REF!,IF(Schedule!AB15=18,Schedule!$AQ$16,IF(Schedule!AB15=19,Schedule!$AQ$17,IF(Schedule!AB15=20,Schedule!$AQ$18,IF(Schedule!AB15=21,Schedule!#REF!))))))))))))))))))))))</f>
        <v xml:space="preserve">Booth(2)/ VC </v>
      </c>
      <c r="AB15" s="72" t="e">
        <f>IF(Schedule!AC15=0,Schedule!$AQ$3,IF(Schedule!AC15=1,Schedule!$AQ$4,IF(Schedule!AC15=2,Schedule!$AQ$5,IF(Schedule!AC15=3,Schedule!$AQ$6,IF(Schedule!AC15=4,Schedule!$AQ$7,IF(Schedule!AC15=5,Schedule!$AQ$8,IF(Schedule!AC15=6,Schedule!$AQ$9,IF(Schedule!AC15=7,Schedule!$AQ$10,IF(Schedule!AC15=8,Schedule!#REF!,IF(Schedule!AC15=9,Schedule!$AQ$12,IF(Schedule!AC15=10,Schedule!$AQ$13,IF(Schedule!AC15=11,Schedule!#REF!,IF(Schedule!AC15=12,Schedule!#REF!,IF(Schedule!AC15=13,Schedule!$AQ$14,IF(Schedule!AC15=14,Schedule!#REF!,IF(Schedule!AC15=15,Schedule!$AQ$15,IF(Schedule!AC15=16,Schedule!#REF!,IF(Schedule!AC15=17,Schedule!#REF!,IF(Schedule!AC15=18,Schedule!$AQ$16,IF(Schedule!AC15=19,Schedule!$AQ$17,IF(Schedule!AC15=20,Schedule!$AQ$18,IF(Schedule!AC15=21,Schedule!#REF!))))))))))))))))))))))</f>
        <v>#REF!</v>
      </c>
      <c r="AC15" s="72" t="str">
        <f>IF(Schedule!AD15=0,Schedule!$AQ$3,IF(Schedule!AD15=1,Schedule!$AQ$4,IF(Schedule!AD15=2,Schedule!$AQ$5,IF(Schedule!AD15=3,Schedule!$AQ$6,IF(Schedule!AD15=4,Schedule!$AQ$7,IF(Schedule!AD15=5,Schedule!$AQ$8,IF(Schedule!AD15=6,Schedule!$AQ$9,IF(Schedule!AD15=7,Schedule!$AQ$10,IF(Schedule!AD15=8,Schedule!#REF!,IF(Schedule!AD15=9,Schedule!$AQ$12,IF(Schedule!AD15=10,Schedule!$AQ$13,IF(Schedule!AD15=11,Schedule!#REF!,IF(Schedule!AD15=12,Schedule!#REF!,IF(Schedule!AD15=13,Schedule!$AQ$14,IF(Schedule!AD15=14,Schedule!#REF!,IF(Schedule!AD15=15,Schedule!$AQ$15,IF(Schedule!AD15=16,Schedule!#REF!,IF(Schedule!AD15=17,Schedule!#REF!,IF(Schedule!AD15=18,Schedule!$AQ$16,IF(Schedule!AD15=19,Schedule!$AQ$17,IF(Schedule!AD15=20,Schedule!$AQ$18,IF(Schedule!AD15=21,Schedule!#REF!))))))))))))))))))))))</f>
        <v xml:space="preserve">Booth(1)/ VC </v>
      </c>
      <c r="AD15" s="72" t="str">
        <f>IF(Schedule!AE15=0,Schedule!$AQ$3,IF(Schedule!AE15=1,Schedule!$AQ$4,IF(Schedule!AE15=2,Schedule!$AQ$5,IF(Schedule!AE15=3,Schedule!$AQ$6,IF(Schedule!AE15=4,Schedule!$AQ$7,IF(Schedule!AE15=5,Schedule!$AQ$8,IF(Schedule!AE15=6,Schedule!$AQ$9,IF(Schedule!AE15=7,Schedule!$AQ$10,IF(Schedule!AE15=8,Schedule!#REF!,IF(Schedule!AE15=9,Schedule!$AQ$12,IF(Schedule!AE15=10,Schedule!$AQ$13,IF(Schedule!AE15=11,Schedule!#REF!,IF(Schedule!AE15=12,Schedule!#REF!,IF(Schedule!AE15=13,Schedule!$AQ$14,IF(Schedule!AE15=14,Schedule!#REF!,IF(Schedule!AE15=15,Schedule!$AQ$15,IF(Schedule!AE15=16,Schedule!#REF!,IF(Schedule!AE15=17,Schedule!#REF!,IF(Schedule!AE15=18,Schedule!$AQ$16,IF(Schedule!AE15=19,Schedule!$AQ$17,IF(Schedule!AE15=20,Schedule!$AQ$18,IF(Schedule!AE15=21,Schedule!#REF!))))))))))))))))))))))</f>
        <v>OFF</v>
      </c>
      <c r="AE15" s="72" t="str">
        <f>IF(Schedule!AF15=0,Schedule!$AQ$3,IF(Schedule!AF15=1,Schedule!$AQ$4,IF(Schedule!AF15=2,Schedule!$AQ$5,IF(Schedule!AF15=3,Schedule!$AQ$6,IF(Schedule!AF15=4,Schedule!$AQ$7,IF(Schedule!AF15=5,Schedule!$AQ$8,IF(Schedule!AF15=6,Schedule!$AQ$9,IF(Schedule!AF15=7,Schedule!$AQ$10,IF(Schedule!AF15=8,Schedule!#REF!,IF(Schedule!AF15=9,Schedule!$AQ$12,IF(Schedule!AF15=10,Schedule!$AQ$13,IF(Schedule!AF15=11,Schedule!#REF!,IF(Schedule!AF15=12,Schedule!#REF!,IF(Schedule!AF15=13,Schedule!$AQ$14,IF(Schedule!AF15=14,Schedule!#REF!,IF(Schedule!AF15=15,Schedule!$AQ$15,IF(Schedule!AF15=16,Schedule!#REF!,IF(Schedule!AF15=17,Schedule!#REF!,IF(Schedule!AF15=18,Schedule!$AQ$16,IF(Schedule!AF15=19,Schedule!$AQ$17,IF(Schedule!AF15=20,Schedule!$AQ$18,IF(Schedule!AF15=21,Schedule!#REF!))))))))))))))))))))))</f>
        <v>OFF</v>
      </c>
      <c r="AF15" s="72" t="str">
        <f>IF(Schedule!AG15=0,Schedule!$AQ$3,IF(Schedule!AG15=1,Schedule!$AQ$4,IF(Schedule!AG15=2,Schedule!$AQ$5,IF(Schedule!AG15=3,Schedule!$AQ$6,IF(Schedule!AG15=4,Schedule!$AQ$7,IF(Schedule!AG15=5,Schedule!$AQ$8,IF(Schedule!AG15=6,Schedule!$AQ$9,IF(Schedule!AG15=7,Schedule!$AQ$10,IF(Schedule!AG15=8,Schedule!#REF!,IF(Schedule!AG15=9,Schedule!$AQ$12,IF(Schedule!AG15=10,Schedule!$AQ$13,IF(Schedule!AG15=11,Schedule!#REF!,IF(Schedule!AG15=12,Schedule!#REF!,IF(Schedule!AG15=13,Schedule!$AQ$14,IF(Schedule!AG15=14,Schedule!#REF!,IF(Schedule!AG15=15,Schedule!$AQ$15,IF(Schedule!AG15=16,Schedule!#REF!,IF(Schedule!AG15=17,Schedule!#REF!,IF(Schedule!AG15=18,Schedule!$AQ$16,IF(Schedule!AG15=19,Schedule!$AQ$17,IF(Schedule!AG15=20,Schedule!$AQ$18,IF(Schedule!AG15=21,Schedule!#REF!))))))))))))))))))))))</f>
        <v>Art(1)/ Stop 7</v>
      </c>
      <c r="AG15" s="72" t="str">
        <f>IF(Schedule!AH15=0,Schedule!$AQ$3,IF(Schedule!AH15=1,Schedule!$AQ$4,IF(Schedule!AH15=2,Schedule!$AQ$5,IF(Schedule!AH15=3,Schedule!$AQ$6,IF(Schedule!AH15=4,Schedule!$AQ$7,IF(Schedule!AH15=5,Schedule!$AQ$8,IF(Schedule!AH15=6,Schedule!$AQ$9,IF(Schedule!AH15=7,Schedule!$AQ$10,IF(Schedule!AH15=8,Schedule!#REF!,IF(Schedule!AH15=9,Schedule!$AQ$12,IF(Schedule!AH15=10,Schedule!$AQ$13,IF(Schedule!AH15=11,Schedule!#REF!,IF(Schedule!AH15=12,Schedule!#REF!,IF(Schedule!AH15=13,Schedule!$AQ$14,IF(Schedule!AH15=14,Schedule!#REF!,IF(Schedule!AH15=15,Schedule!$AQ$15,IF(Schedule!AH15=16,Schedule!#REF!,IF(Schedule!AH15=17,Schedule!#REF!,IF(Schedule!AH15=18,Schedule!$AQ$16,IF(Schedule!AH15=19,Schedule!$AQ$17,IF(Schedule!AH15=20,Schedule!$AQ$18,IF(Schedule!AH15=21,Schedule!#REF!))))))))))))))))))))))</f>
        <v xml:space="preserve">VC(2)/ Booth  </v>
      </c>
      <c r="AH15" s="72" t="str">
        <f>IF(Schedule!AI15=0,Schedule!$AQ$3,IF(Schedule!AI15=1,Schedule!$AQ$4,IF(Schedule!AI15=2,Schedule!$AQ$5,IF(Schedule!AI15=3,Schedule!$AQ$6,IF(Schedule!AI15=4,Schedule!$AQ$7,IF(Schedule!AI15=5,Schedule!$AQ$8,IF(Schedule!AI15=6,Schedule!$AQ$9,IF(Schedule!AI15=7,Schedule!$AQ$10,IF(Schedule!AI15=8,Schedule!#REF!,IF(Schedule!AI15=9,Schedule!$AQ$12,IF(Schedule!AI15=10,Schedule!$AQ$13,IF(Schedule!AI15=11,Schedule!#REF!,IF(Schedule!AI15=12,Schedule!#REF!,IF(Schedule!AI15=13,Schedule!$AQ$14,IF(Schedule!AI15=14,Schedule!#REF!,IF(Schedule!AI15=15,Schedule!$AQ$15,IF(Schedule!AI15=16,Schedule!#REF!,IF(Schedule!AI15=17,Schedule!#REF!,IF(Schedule!AI15=18,Schedule!$AQ$16,IF(Schedule!AI15=19,Schedule!$AQ$17,IF(Schedule!AI15=20,Schedule!$AQ$18,IF(Schedule!AI15=21,Schedule!#REF!))))))))))))))))))))))</f>
        <v>OFF</v>
      </c>
      <c r="AI15" s="72" t="str">
        <f>IF(Schedule!AJ15=0,Schedule!$AQ$3,IF(Schedule!AJ15=1,Schedule!$AQ$4,IF(Schedule!AJ15=2,Schedule!$AQ$5,IF(Schedule!AJ15=3,Schedule!$AQ$6,IF(Schedule!AJ15=4,Schedule!$AQ$7,IF(Schedule!AJ15=5,Schedule!$AQ$8,IF(Schedule!AJ15=6,Schedule!$AQ$9,IF(Schedule!AJ15=7,Schedule!$AQ$10,IF(Schedule!AJ15=8,Schedule!#REF!,IF(Schedule!AJ15=9,Schedule!$AQ$12,IF(Schedule!AJ15=10,Schedule!$AQ$13,IF(Schedule!AJ15=11,Schedule!#REF!,IF(Schedule!AJ15=12,Schedule!#REF!,IF(Schedule!AJ15=13,Schedule!$AQ$14,IF(Schedule!AJ15=14,Schedule!#REF!,IF(Schedule!AJ15=15,Schedule!$AQ$15,IF(Schedule!AJ15=16,Schedule!#REF!,IF(Schedule!AJ15=17,Schedule!#REF!,IF(Schedule!AJ15=18,Schedule!$AQ$16,IF(Schedule!AJ15=19,Schedule!$AQ$17,IF(Schedule!AJ15=20,Schedule!$AQ$18,IF(Schedule!AJ15=21,Schedule!#REF!))))))))))))))))))))))</f>
        <v>OFF</v>
      </c>
      <c r="AJ15" s="72" t="str">
        <f>IF(Schedule!AK15=0,Schedule!$AQ$3,IF(Schedule!AK15=1,Schedule!$AQ$4,IF(Schedule!AK15=2,Schedule!$AQ$5,IF(Schedule!AK15=3,Schedule!$AQ$6,IF(Schedule!AK15=4,Schedule!$AQ$7,IF(Schedule!AK15=5,Schedule!$AQ$8,IF(Schedule!AK15=6,Schedule!$AQ$9,IF(Schedule!AK15=7,Schedule!$AQ$10,IF(Schedule!AK15=8,Schedule!#REF!,IF(Schedule!AK15=9,Schedule!$AQ$12,IF(Schedule!AK15=10,Schedule!$AQ$13,IF(Schedule!AK15=11,Schedule!#REF!,IF(Schedule!AK15=12,Schedule!#REF!,IF(Schedule!AK15=13,Schedule!$AQ$14,IF(Schedule!AK15=14,Schedule!#REF!,IF(Schedule!AK15=15,Schedule!$AQ$15,IF(Schedule!AK15=16,Schedule!#REF!,IF(Schedule!AK15=17,Schedule!#REF!,IF(Schedule!AK15=18,Schedule!$AQ$16,IF(Schedule!AK15=19,Schedule!$AQ$17,IF(Schedule!AK15=20,Schedule!$AQ$18,IF(Schedule!AK15=21,Schedule!#REF!))))))))))))))))))))))</f>
        <v xml:space="preserve">VC(1)/ Booth </v>
      </c>
      <c r="AK15" s="72" t="str">
        <f>IF(Schedule!AL15=0,Schedule!$AQ$3,IF(Schedule!AL15=1,Schedule!$AQ$4,IF(Schedule!AL15=2,Schedule!$AQ$5,IF(Schedule!AL15=3,Schedule!$AQ$6,IF(Schedule!AL15=4,Schedule!$AQ$7,IF(Schedule!AL15=5,Schedule!$AQ$8,IF(Schedule!AL15=6,Schedule!$AQ$9,IF(Schedule!AL15=7,Schedule!$AQ$10,IF(Schedule!AL15=8,Schedule!#REF!,IF(Schedule!AL15=9,Schedule!$AQ$12,IF(Schedule!AL15=10,Schedule!$AQ$13,IF(Schedule!AL15=11,Schedule!#REF!,IF(Schedule!AL15=12,Schedule!#REF!,IF(Schedule!AL15=13,Schedule!$AQ$14,IF(Schedule!AL15=14,Schedule!#REF!,IF(Schedule!AL15=15,Schedule!$AQ$15,IF(Schedule!AL15=16,Schedule!#REF!,IF(Schedule!AL15=17,Schedule!#REF!,IF(Schedule!AL15=18,Schedule!$AQ$16,IF(Schedule!AL15=19,Schedule!$AQ$17,IF(Schedule!AL15=20,Schedule!$AQ$18,IF(Schedule!AL15=21,Schedule!#REF!))))))))))))))))))))))</f>
        <v>Stop 7(2)/ 5&amp;9</v>
      </c>
    </row>
    <row r="16" spans="1:37" ht="22" customHeight="1" x14ac:dyDescent="0.2">
      <c r="A16" s="67" t="str">
        <f>Schedule!D19</f>
        <v>Doe</v>
      </c>
      <c r="B16" s="67" t="str">
        <f>Schedule!C19</f>
        <v>Jane</v>
      </c>
      <c r="C16" s="54"/>
      <c r="D16" s="54"/>
      <c r="E16" s="54"/>
      <c r="F16" s="64"/>
      <c r="G16" s="72" t="str">
        <f>IF(Schedule!E20=0,Schedule!$AQ$3,IF(Schedule!E20=1,Schedule!$AQ$4,IF(Schedule!E20=2,Schedule!$AQ$5,IF(Schedule!E20=3,Schedule!$AQ$6,IF(Schedule!E20=4,Schedule!$AQ$7,IF(Schedule!E20=5,Schedule!$AQ$8,IF(Schedule!E20=6,Schedule!$AQ$9,IF(Schedule!E20=7,Schedule!$AQ$10,IF(Schedule!E20=8,Schedule!#REF!,IF(Schedule!E20=9,Schedule!$AQ$12,IF(Schedule!E20=10,Schedule!$AQ$13,IF(Schedule!E20=11,Schedule!#REF!,IF(Schedule!E20=12,Schedule!#REF!,IF(Schedule!E20=13,Schedule!$AQ$14,IF(Schedule!E20=14,Schedule!#REF!,IF(Schedule!E20=15,Schedule!$AQ$15,IF(Schedule!E20=16,Schedule!#REF!,IF(Schedule!E20=17,Schedule!#REF!,IF(Schedule!E20=18,Schedule!$AQ$16,IF(Schedule!E20=19,Schedule!$AQ$17,IF(Schedule!E20=20,Schedule!$AQ$18,IF(Schedule!E20=21,Schedule!#REF!))))))))))))))))))))))</f>
        <v>Stop 14(2)</v>
      </c>
      <c r="H16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6" s="72" t="str">
        <f>IF(Schedule!F20=0,Schedule!$AQ$3,IF(Schedule!F20=1,Schedule!$AQ$4,IF(Schedule!F20=2,Schedule!$AQ$5,IF(Schedule!F20=3,Schedule!$AQ$6,IF(Schedule!F20=4,Schedule!$AQ$7,IF(Schedule!F20=5,Schedule!$AQ$8,IF(Schedule!F20=6,Schedule!$AQ$9,IF(Schedule!F20=7,Schedule!$AQ$10,IF(Schedule!F20=8,Schedule!#REF!,IF(Schedule!F20=9,Schedule!$AQ$12,IF(Schedule!F20=10,Schedule!$AQ$13,IF(Schedule!F20=11,Schedule!#REF!,IF(Schedule!F20=12,Schedule!#REF!,IF(Schedule!F20=13,Schedule!$AQ$14,IF(Schedule!F20=14,Schedule!#REF!,IF(Schedule!F20=15,Schedule!$AQ$15,IF(Schedule!F20=16,Schedule!#REF!,IF(Schedule!F20=17,Schedule!#REF!,IF(Schedule!F20=18,Schedule!$AQ$16,IF(Schedule!F20=19,Schedule!$AQ$17,IF(Schedule!F20=20,Schedule!$AQ$18,IF(Schedule!F20=21,Schedule!#REF!))))))))))))))))))))))</f>
        <v>Stop 14(2)</v>
      </c>
      <c r="J16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K16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L16" s="72" t="str">
        <f>IF(Schedule!M20=0,Schedule!$AQ$3,IF(Schedule!M20=1,Schedule!$AQ$4,IF(Schedule!M20=2,Schedule!$AQ$5,IF(Schedule!M20=3,Schedule!$AQ$6,IF(Schedule!M20=4,Schedule!$AQ$7,IF(Schedule!M20=5,Schedule!$AQ$8,IF(Schedule!M20=6,Schedule!$AQ$9,IF(Schedule!M20=7,Schedule!$AQ$10,IF(Schedule!M20=8,Schedule!#REF!,IF(Schedule!M20=9,Schedule!$AQ$12,IF(Schedule!M20=10,Schedule!$AQ$13,IF(Schedule!M20=11,Schedule!#REF!,IF(Schedule!M20=12,Schedule!#REF!,IF(Schedule!M20=13,Schedule!$AQ$14,IF(Schedule!M20=14,Schedule!#REF!,IF(Schedule!M20=15,Schedule!$AQ$15,IF(Schedule!M20=16,Schedule!#REF!,IF(Schedule!M20=17,Schedule!#REF!,IF(Schedule!M20=18,Schedule!$AQ$16,IF(Schedule!M20=19,Schedule!$AQ$17,IF(Schedule!M20=20,Schedule!$AQ$18,IF(Schedule!M20=21,Schedule!#REF!))))))))))))))))))))))</f>
        <v xml:space="preserve">VC(1)/ Booth </v>
      </c>
      <c r="M16" s="72" t="str">
        <f>IF(Schedule!N20=0,Schedule!$AQ$3,IF(Schedule!N20=1,Schedule!$AQ$4,IF(Schedule!N20=2,Schedule!$AQ$5,IF(Schedule!N20=3,Schedule!$AQ$6,IF(Schedule!N20=4,Schedule!$AQ$7,IF(Schedule!N20=5,Schedule!$AQ$8,IF(Schedule!N20=6,Schedule!$AQ$9,IF(Schedule!N20=7,Schedule!$AQ$10,IF(Schedule!N20=8,Schedule!#REF!,IF(Schedule!N20=9,Schedule!$AQ$12,IF(Schedule!N20=10,Schedule!$AQ$13,IF(Schedule!N20=11,Schedule!#REF!,IF(Schedule!N20=12,Schedule!#REF!,IF(Schedule!N20=13,Schedule!$AQ$14,IF(Schedule!N20=14,Schedule!#REF!,IF(Schedule!N20=15,Schedule!$AQ$15,IF(Schedule!N20=16,Schedule!#REF!,IF(Schedule!N20=17,Schedule!#REF!,IF(Schedule!N20=18,Schedule!$AQ$16,IF(Schedule!N20=19,Schedule!$AQ$17,IF(Schedule!N20=20,Schedule!$AQ$18,IF(Schedule!N20=21,Schedule!#REF!))))))))))))))))))))))</f>
        <v>Stop 14(2)</v>
      </c>
      <c r="N16" s="72" t="str">
        <f>IF(Schedule!O20=0,Schedule!$AQ$3,IF(Schedule!O20=1,Schedule!$AQ$4,IF(Schedule!O20=2,Schedule!$AQ$5,IF(Schedule!O20=3,Schedule!$AQ$6,IF(Schedule!O20=4,Schedule!$AQ$7,IF(Schedule!O20=5,Schedule!$AQ$8,IF(Schedule!O20=6,Schedule!$AQ$9,IF(Schedule!O20=7,Schedule!$AQ$10,IF(Schedule!O20=8,Schedule!#REF!,IF(Schedule!O20=9,Schedule!$AQ$12,IF(Schedule!O20=10,Schedule!$AQ$13,IF(Schedule!O20=11,Schedule!#REF!,IF(Schedule!O20=12,Schedule!#REF!,IF(Schedule!O20=13,Schedule!$AQ$14,IF(Schedule!O20=14,Schedule!#REF!,IF(Schedule!O20=15,Schedule!$AQ$15,IF(Schedule!O20=16,Schedule!#REF!,IF(Schedule!O20=17,Schedule!#REF!,IF(Schedule!O20=18,Schedule!$AQ$16,IF(Schedule!O20=19,Schedule!$AQ$17,IF(Schedule!O20=20,Schedule!$AQ$18,IF(Schedule!O20=21,Schedule!#REF!))))))))))))))))))))))</f>
        <v>OFF</v>
      </c>
      <c r="O16" s="72" t="str">
        <f>IF(Schedule!P20=0,Schedule!$AQ$3,IF(Schedule!P20=1,Schedule!$AQ$4,IF(Schedule!P20=2,Schedule!$AQ$5,IF(Schedule!P20=3,Schedule!$AQ$6,IF(Schedule!P20=4,Schedule!$AQ$7,IF(Schedule!P20=5,Schedule!$AQ$8,IF(Schedule!P20=6,Schedule!$AQ$9,IF(Schedule!P20=7,Schedule!$AQ$10,IF(Schedule!P20=8,Schedule!#REF!,IF(Schedule!P20=9,Schedule!$AQ$12,IF(Schedule!P20=10,Schedule!$AQ$13,IF(Schedule!P20=11,Schedule!#REF!,IF(Schedule!P20=12,Schedule!#REF!,IF(Schedule!P20=13,Schedule!$AQ$14,IF(Schedule!P20=14,Schedule!#REF!,IF(Schedule!P20=15,Schedule!$AQ$15,IF(Schedule!P20=16,Schedule!#REF!,IF(Schedule!P20=17,Schedule!#REF!,IF(Schedule!P20=18,Schedule!$AQ$16,IF(Schedule!P20=19,Schedule!$AQ$17,IF(Schedule!P20=20,Schedule!$AQ$18,IF(Schedule!P20=21,Schedule!#REF!))))))))))))))))))))))</f>
        <v>OFF</v>
      </c>
      <c r="P16" s="72" t="str">
        <f>IF(Schedule!Q20=0,Schedule!$AQ$3,IF(Schedule!Q20=1,Schedule!$AQ$4,IF(Schedule!Q20=2,Schedule!$AQ$5,IF(Schedule!Q20=3,Schedule!$AQ$6,IF(Schedule!Q20=4,Schedule!$AQ$7,IF(Schedule!Q20=5,Schedule!$AQ$8,IF(Schedule!Q20=6,Schedule!$AQ$9,IF(Schedule!Q20=7,Schedule!$AQ$10,IF(Schedule!Q20=8,Schedule!#REF!,IF(Schedule!Q20=9,Schedule!$AQ$12,IF(Schedule!Q20=10,Schedule!$AQ$13,IF(Schedule!Q20=11,Schedule!#REF!,IF(Schedule!Q20=12,Schedule!#REF!,IF(Schedule!Q20=13,Schedule!$AQ$14,IF(Schedule!Q20=14,Schedule!#REF!,IF(Schedule!Q20=15,Schedule!$AQ$15,IF(Schedule!Q20=16,Schedule!#REF!,IF(Schedule!Q20=17,Schedule!#REF!,IF(Schedule!Q20=18,Schedule!$AQ$16,IF(Schedule!Q20=19,Schedule!$AQ$17,IF(Schedule!Q20=20,Schedule!$AQ$18,IF(Schedule!Q20=21,Schedule!#REF!))))))))))))))))))))))</f>
        <v xml:space="preserve">Booth(2)/ VC </v>
      </c>
      <c r="Q16" s="72" t="str">
        <f>IF(Schedule!R20=0,Schedule!$AQ$3,IF(Schedule!R20=1,Schedule!$AQ$4,IF(Schedule!R20=2,Schedule!$AQ$5,IF(Schedule!R20=3,Schedule!$AQ$6,IF(Schedule!R20=4,Schedule!$AQ$7,IF(Schedule!R20=5,Schedule!$AQ$8,IF(Schedule!R20=6,Schedule!$AQ$9,IF(Schedule!R20=7,Schedule!$AQ$10,IF(Schedule!R20=8,Schedule!#REF!,IF(Schedule!R20=9,Schedule!$AQ$12,IF(Schedule!R20=10,Schedule!$AQ$13,IF(Schedule!R20=11,Schedule!#REF!,IF(Schedule!R20=12,Schedule!#REF!,IF(Schedule!R20=13,Schedule!$AQ$14,IF(Schedule!R20=14,Schedule!#REF!,IF(Schedule!R20=15,Schedule!$AQ$15,IF(Schedule!R20=16,Schedule!#REF!,IF(Schedule!R20=17,Schedule!#REF!,IF(Schedule!R20=18,Schedule!$AQ$16,IF(Schedule!R20=19,Schedule!$AQ$17,IF(Schedule!R20=20,Schedule!$AQ$18,IF(Schedule!R20=21,Schedule!#REF!))))))))))))))))))))))</f>
        <v>OFF</v>
      </c>
      <c r="R16" s="72" t="str">
        <f>IF(Schedule!S20=0,Schedule!$AQ$3,IF(Schedule!S20=1,Schedule!$AQ$4,IF(Schedule!S20=2,Schedule!$AQ$5,IF(Schedule!S20=3,Schedule!$AQ$6,IF(Schedule!S20=4,Schedule!$AQ$7,IF(Schedule!S20=5,Schedule!$AQ$8,IF(Schedule!S20=6,Schedule!$AQ$9,IF(Schedule!S20=7,Schedule!$AQ$10,IF(Schedule!S20=8,Schedule!#REF!,IF(Schedule!S20=9,Schedule!$AQ$12,IF(Schedule!S20=10,Schedule!$AQ$13,IF(Schedule!S20=11,Schedule!#REF!,IF(Schedule!S20=12,Schedule!#REF!,IF(Schedule!S20=13,Schedule!$AQ$14,IF(Schedule!S20=14,Schedule!#REF!,IF(Schedule!S20=15,Schedule!$AQ$15,IF(Schedule!S20=16,Schedule!#REF!,IF(Schedule!S20=17,Schedule!#REF!,IF(Schedule!S20=18,Schedule!$AQ$16,IF(Schedule!S20=19,Schedule!$AQ$17,IF(Schedule!S20=20,Schedule!$AQ$18,IF(Schedule!S20=21,Schedule!#REF!))))))))))))))))))))))</f>
        <v>OFF</v>
      </c>
      <c r="S16" s="72" t="str">
        <f>IF(Schedule!T20=0,Schedule!$AQ$3,IF(Schedule!T20=1,Schedule!$AQ$4,IF(Schedule!T20=2,Schedule!$AQ$5,IF(Schedule!T20=3,Schedule!$AQ$6,IF(Schedule!T20=4,Schedule!$AQ$7,IF(Schedule!T20=5,Schedule!$AQ$8,IF(Schedule!T20=6,Schedule!$AQ$9,IF(Schedule!T20=7,Schedule!$AQ$10,IF(Schedule!T20=8,Schedule!#REF!,IF(Schedule!T20=9,Schedule!$AQ$12,IF(Schedule!T20=10,Schedule!$AQ$13,IF(Schedule!T20=11,Schedule!#REF!,IF(Schedule!T20=12,Schedule!#REF!,IF(Schedule!T20=13,Schedule!$AQ$14,IF(Schedule!T20=14,Schedule!#REF!,IF(Schedule!T20=15,Schedule!$AQ$15,IF(Schedule!T20=16,Schedule!#REF!,IF(Schedule!T20=17,Schedule!#REF!,IF(Schedule!T20=18,Schedule!$AQ$16,IF(Schedule!T20=19,Schedule!$AQ$17,IF(Schedule!T20=20,Schedule!$AQ$18,IF(Schedule!T20=21,Schedule!#REF!))))))))))))))))))))))</f>
        <v xml:space="preserve">VC(2)/ Booth  </v>
      </c>
      <c r="T16" s="72" t="str">
        <f>IF(Schedule!U20=0,Schedule!$AQ$3,IF(Schedule!U20=1,Schedule!$AQ$4,IF(Schedule!U20=2,Schedule!$AQ$5,IF(Schedule!U20=3,Schedule!$AQ$6,IF(Schedule!U20=4,Schedule!$AQ$7,IF(Schedule!U20=5,Schedule!$AQ$8,IF(Schedule!U20=6,Schedule!$AQ$9,IF(Schedule!U20=7,Schedule!$AQ$10,IF(Schedule!U20=8,Schedule!#REF!,IF(Schedule!U20=9,Schedule!$AQ$12,IF(Schedule!U20=10,Schedule!$AQ$13,IF(Schedule!U20=11,Schedule!#REF!,IF(Schedule!U20=12,Schedule!#REF!,IF(Schedule!U20=13,Schedule!$AQ$14,IF(Schedule!U20=14,Schedule!#REF!,IF(Schedule!U20=15,Schedule!$AQ$15,IF(Schedule!U20=16,Schedule!#REF!,IF(Schedule!U20=17,Schedule!#REF!,IF(Schedule!U20=18,Schedule!$AQ$16,IF(Schedule!U20=19,Schedule!$AQ$17,IF(Schedule!U20=20,Schedule!$AQ$18,IF(Schedule!U20=21,Schedule!#REF!))))))))))))))))))))))</f>
        <v>Stop 7(2)/ 5&amp;9</v>
      </c>
      <c r="U16" s="72" t="str">
        <f>IF(Schedule!V20=0,Schedule!$AQ$3,IF(Schedule!V20=1,Schedule!$AQ$4,IF(Schedule!V20=2,Schedule!$AQ$5,IF(Schedule!V20=3,Schedule!$AQ$6,IF(Schedule!V20=4,Schedule!$AQ$7,IF(Schedule!V20=5,Schedule!$AQ$8,IF(Schedule!V20=6,Schedule!$AQ$9,IF(Schedule!V20=7,Schedule!$AQ$10,IF(Schedule!V20=8,Schedule!#REF!,IF(Schedule!V20=9,Schedule!$AQ$12,IF(Schedule!V20=10,Schedule!$AQ$13,IF(Schedule!V20=11,Schedule!#REF!,IF(Schedule!V20=12,Schedule!#REF!,IF(Schedule!V20=13,Schedule!$AQ$14,IF(Schedule!V20=14,Schedule!#REF!,IF(Schedule!V20=15,Schedule!$AQ$15,IF(Schedule!V20=16,Schedule!#REF!,IF(Schedule!V20=17,Schedule!#REF!,IF(Schedule!V20=18,Schedule!$AQ$16,IF(Schedule!V20=19,Schedule!$AQ$17,IF(Schedule!V20=20,Schedule!$AQ$18,IF(Schedule!V20=21,Schedule!#REF!))))))))))))))))))))))</f>
        <v>Stop 7(2)</v>
      </c>
      <c r="V16" s="72" t="str">
        <f>IF(Schedule!W20=0,Schedule!$AQ$3,IF(Schedule!W20=1,Schedule!$AQ$4,IF(Schedule!W20=2,Schedule!$AQ$5,IF(Schedule!W20=3,Schedule!$AQ$6,IF(Schedule!W20=4,Schedule!$AQ$7,IF(Schedule!W20=5,Schedule!$AQ$8,IF(Schedule!W20=6,Schedule!$AQ$9,IF(Schedule!W20=7,Schedule!$AQ$10,IF(Schedule!W20=8,Schedule!#REF!,IF(Schedule!W20=9,Schedule!$AQ$12,IF(Schedule!W20=10,Schedule!$AQ$13,IF(Schedule!W20=11,Schedule!#REF!,IF(Schedule!W20=12,Schedule!#REF!,IF(Schedule!W20=13,Schedule!$AQ$14,IF(Schedule!W20=14,Schedule!#REF!,IF(Schedule!W20=15,Schedule!$AQ$15,IF(Schedule!W20=16,Schedule!#REF!,IF(Schedule!W20=17,Schedule!#REF!,IF(Schedule!W20=18,Schedule!$AQ$16,IF(Schedule!W20=19,Schedule!$AQ$17,IF(Schedule!W20=20,Schedule!$AQ$18,IF(Schedule!W20=21,Schedule!#REF!))))))))))))))))))))))</f>
        <v>OFF</v>
      </c>
      <c r="W16" s="72" t="str">
        <f>IF(Schedule!X20=0,Schedule!$AQ$3,IF(Schedule!X20=1,Schedule!$AQ$4,IF(Schedule!X20=2,Schedule!$AQ$5,IF(Schedule!X20=3,Schedule!$AQ$6,IF(Schedule!X20=4,Schedule!$AQ$7,IF(Schedule!X20=5,Schedule!$AQ$8,IF(Schedule!X20=6,Schedule!$AQ$9,IF(Schedule!X20=7,Schedule!$AQ$10,IF(Schedule!X20=8,Schedule!#REF!,IF(Schedule!X20=9,Schedule!$AQ$12,IF(Schedule!X20=10,Schedule!$AQ$13,IF(Schedule!X20=11,Schedule!#REF!,IF(Schedule!X20=12,Schedule!#REF!,IF(Schedule!X20=13,Schedule!$AQ$14,IF(Schedule!X20=14,Schedule!#REF!,IF(Schedule!X20=15,Schedule!$AQ$15,IF(Schedule!X20=16,Schedule!#REF!,IF(Schedule!X20=17,Schedule!#REF!,IF(Schedule!X20=18,Schedule!$AQ$16,IF(Schedule!X20=19,Schedule!$AQ$17,IF(Schedule!X20=20,Schedule!$AQ$18,IF(Schedule!X20=21,Schedule!#REF!))))))))))))))))))))))</f>
        <v>OFF</v>
      </c>
      <c r="X16" s="72" t="e">
        <f>IF(Schedule!Y20=0,Schedule!$AQ$3,IF(Schedule!Y20=1,Schedule!$AQ$4,IF(Schedule!Y20=2,Schedule!$AQ$5,IF(Schedule!Y20=3,Schedule!$AQ$6,IF(Schedule!Y20=4,Schedule!$AQ$7,IF(Schedule!Y20=5,Schedule!$AQ$8,IF(Schedule!Y20=6,Schedule!$AQ$9,IF(Schedule!Y20=7,Schedule!$AQ$10,IF(Schedule!Y20=8,Schedule!#REF!,IF(Schedule!Y20=9,Schedule!$AQ$12,IF(Schedule!Y20=10,Schedule!$AQ$13,IF(Schedule!Y20=11,Schedule!#REF!,IF(Schedule!Y20=12,Schedule!#REF!,IF(Schedule!Y20=13,Schedule!$AQ$14,IF(Schedule!Y20=14,Schedule!#REF!,IF(Schedule!Y20=15,Schedule!$AQ$15,IF(Schedule!Y20=16,Schedule!#REF!,IF(Schedule!Y20=17,Schedule!#REF!,IF(Schedule!Y20=18,Schedule!$AQ$16,IF(Schedule!Y20=19,Schedule!$AQ$17,IF(Schedule!Y20=20,Schedule!$AQ$18,IF(Schedule!Y20=21,Schedule!#REF!))))))))))))))))))))))</f>
        <v>#REF!</v>
      </c>
      <c r="Y16" s="72" t="str">
        <f>IF(Schedule!Z20=0,Schedule!$AQ$3,IF(Schedule!Z20=1,Schedule!$AQ$4,IF(Schedule!Z20=2,Schedule!$AQ$5,IF(Schedule!Z20=3,Schedule!$AQ$6,IF(Schedule!Z20=4,Schedule!$AQ$7,IF(Schedule!Z20=5,Schedule!$AQ$8,IF(Schedule!Z20=6,Schedule!$AQ$9,IF(Schedule!Z20=7,Schedule!$AQ$10,IF(Schedule!Z20=8,Schedule!#REF!,IF(Schedule!Z20=9,Schedule!$AQ$12,IF(Schedule!Z20=10,Schedule!$AQ$13,IF(Schedule!Z20=11,Schedule!#REF!,IF(Schedule!Z20=12,Schedule!#REF!,IF(Schedule!Z20=13,Schedule!$AQ$14,IF(Schedule!Z20=14,Schedule!#REF!,IF(Schedule!Z20=15,Schedule!$AQ$15,IF(Schedule!Z20=16,Schedule!#REF!,IF(Schedule!Z20=17,Schedule!#REF!,IF(Schedule!Z20=18,Schedule!$AQ$16,IF(Schedule!Z20=19,Schedule!$AQ$17,IF(Schedule!Z20=20,Schedule!$AQ$18,IF(Schedule!Z20=21,Schedule!#REF!))))))))))))))))))))))</f>
        <v xml:space="preserve">Booth(1)/ VC </v>
      </c>
      <c r="Z16" s="72" t="str">
        <f>IF(Schedule!AA20=0,Schedule!$AQ$3,IF(Schedule!AA20=1,Schedule!$AQ$4,IF(Schedule!AA20=2,Schedule!$AQ$5,IF(Schedule!AA20=3,Schedule!$AQ$6,IF(Schedule!AA20=4,Schedule!$AQ$7,IF(Schedule!AA20=5,Schedule!$AQ$8,IF(Schedule!AA20=6,Schedule!$AQ$9,IF(Schedule!AA20=7,Schedule!$AQ$10,IF(Schedule!AA20=8,Schedule!#REF!,IF(Schedule!AA20=9,Schedule!$AQ$12,IF(Schedule!AA20=10,Schedule!$AQ$13,IF(Schedule!AA20=11,Schedule!#REF!,IF(Schedule!AA20=12,Schedule!#REF!,IF(Schedule!AA20=13,Schedule!$AQ$14,IF(Schedule!AA20=14,Schedule!#REF!,IF(Schedule!AA20=15,Schedule!$AQ$15,IF(Schedule!AA20=16,Schedule!#REF!,IF(Schedule!AA20=17,Schedule!#REF!,IF(Schedule!AA20=18,Schedule!$AQ$16,IF(Schedule!AA20=19,Schedule!$AQ$17,IF(Schedule!AA20=20,Schedule!$AQ$18,IF(Schedule!AA20=21,Schedule!#REF!))))))))))))))))))))))</f>
        <v>Stop 7(2)</v>
      </c>
      <c r="AA16" s="72" t="str">
        <f>IF(Schedule!AB20=0,Schedule!$AQ$3,IF(Schedule!AB20=1,Schedule!$AQ$4,IF(Schedule!AB20=2,Schedule!$AQ$5,IF(Schedule!AB20=3,Schedule!$AQ$6,IF(Schedule!AB20=4,Schedule!$AQ$7,IF(Schedule!AB20=5,Schedule!$AQ$8,IF(Schedule!AB20=6,Schedule!$AQ$9,IF(Schedule!AB20=7,Schedule!$AQ$10,IF(Schedule!AB20=8,Schedule!#REF!,IF(Schedule!AB20=9,Schedule!$AQ$12,IF(Schedule!AB20=10,Schedule!$AQ$13,IF(Schedule!AB20=11,Schedule!#REF!,IF(Schedule!AB20=12,Schedule!#REF!,IF(Schedule!AB20=13,Schedule!$AQ$14,IF(Schedule!AB20=14,Schedule!#REF!,IF(Schedule!AB20=15,Schedule!$AQ$15,IF(Schedule!AB20=16,Schedule!#REF!,IF(Schedule!AB20=17,Schedule!#REF!,IF(Schedule!AB20=18,Schedule!$AQ$16,IF(Schedule!AB20=19,Schedule!$AQ$17,IF(Schedule!AB20=20,Schedule!$AQ$18,IF(Schedule!AB20=21,Schedule!#REF!))))))))))))))))))))))</f>
        <v>OFF</v>
      </c>
      <c r="AB16" s="72" t="str">
        <f>IF(Schedule!AC20=0,Schedule!$AQ$3,IF(Schedule!AC20=1,Schedule!$AQ$4,IF(Schedule!AC20=2,Schedule!$AQ$5,IF(Schedule!AC20=3,Schedule!$AQ$6,IF(Schedule!AC20=4,Schedule!$AQ$7,IF(Schedule!AC20=5,Schedule!$AQ$8,IF(Schedule!AC20=6,Schedule!$AQ$9,IF(Schedule!AC20=7,Schedule!$AQ$10,IF(Schedule!AC20=8,Schedule!#REF!,IF(Schedule!AC20=9,Schedule!$AQ$12,IF(Schedule!AC20=10,Schedule!$AQ$13,IF(Schedule!AC20=11,Schedule!#REF!,IF(Schedule!AC20=12,Schedule!#REF!,IF(Schedule!AC20=13,Schedule!$AQ$14,IF(Schedule!AC20=14,Schedule!#REF!,IF(Schedule!AC20=15,Schedule!$AQ$15,IF(Schedule!AC20=16,Schedule!#REF!,IF(Schedule!AC20=17,Schedule!#REF!,IF(Schedule!AC20=18,Schedule!$AQ$16,IF(Schedule!AC20=19,Schedule!$AQ$17,IF(Schedule!AC20=20,Schedule!$AQ$18,IF(Schedule!AC20=21,Schedule!#REF!))))))))))))))))))))))</f>
        <v>OFF</v>
      </c>
      <c r="AC16" s="72" t="str">
        <f>IF(Schedule!AD20=0,Schedule!$AQ$3,IF(Schedule!AD20=1,Schedule!$AQ$4,IF(Schedule!AD20=2,Schedule!$AQ$5,IF(Schedule!AD20=3,Schedule!$AQ$6,IF(Schedule!AD20=4,Schedule!$AQ$7,IF(Schedule!AD20=5,Schedule!$AQ$8,IF(Schedule!AD20=6,Schedule!$AQ$9,IF(Schedule!AD20=7,Schedule!$AQ$10,IF(Schedule!AD20=8,Schedule!#REF!,IF(Schedule!AD20=9,Schedule!$AQ$12,IF(Schedule!AD20=10,Schedule!$AQ$13,IF(Schedule!AD20=11,Schedule!#REF!,IF(Schedule!AD20=12,Schedule!#REF!,IF(Schedule!AD20=13,Schedule!$AQ$14,IF(Schedule!AD20=14,Schedule!#REF!,IF(Schedule!AD20=15,Schedule!$AQ$15,IF(Schedule!AD20=16,Schedule!#REF!,IF(Schedule!AD20=17,Schedule!#REF!,IF(Schedule!AD20=18,Schedule!$AQ$16,IF(Schedule!AD20=19,Schedule!$AQ$17,IF(Schedule!AD20=20,Schedule!$AQ$18,IF(Schedule!AD20=21,Schedule!#REF!))))))))))))))))))))))</f>
        <v>Art(1)/ Stop 7</v>
      </c>
      <c r="AD16" s="72" t="str">
        <f>IF(Schedule!AE20=0,Schedule!$AQ$3,IF(Schedule!AE20=1,Schedule!$AQ$4,IF(Schedule!AE20=2,Schedule!$AQ$5,IF(Schedule!AE20=3,Schedule!$AQ$6,IF(Schedule!AE20=4,Schedule!$AQ$7,IF(Schedule!AE20=5,Schedule!$AQ$8,IF(Schedule!AE20=6,Schedule!$AQ$9,IF(Schedule!AE20=7,Schedule!$AQ$10,IF(Schedule!AE20=8,Schedule!#REF!,IF(Schedule!AE20=9,Schedule!$AQ$12,IF(Schedule!AE20=10,Schedule!$AQ$13,IF(Schedule!AE20=11,Schedule!#REF!,IF(Schedule!AE20=12,Schedule!#REF!,IF(Schedule!AE20=13,Schedule!$AQ$14,IF(Schedule!AE20=14,Schedule!#REF!,IF(Schedule!AE20=15,Schedule!$AQ$15,IF(Schedule!AE20=16,Schedule!#REF!,IF(Schedule!AE20=17,Schedule!#REF!,IF(Schedule!AE20=18,Schedule!$AQ$16,IF(Schedule!AE20=19,Schedule!$AQ$17,IF(Schedule!AE20=20,Schedule!$AQ$18,IF(Schedule!AE20=21,Schedule!#REF!))))))))))))))))))))))</f>
        <v xml:space="preserve">VC(2)/ Booth  </v>
      </c>
      <c r="AE16" s="72" t="str">
        <f>IF(Schedule!AF20=0,Schedule!$AQ$3,IF(Schedule!AF20=1,Schedule!$AQ$4,IF(Schedule!AF20=2,Schedule!$AQ$5,IF(Schedule!AF20=3,Schedule!$AQ$6,IF(Schedule!AF20=4,Schedule!$AQ$7,IF(Schedule!AF20=5,Schedule!$AQ$8,IF(Schedule!AF20=6,Schedule!$AQ$9,IF(Schedule!AF20=7,Schedule!$AQ$10,IF(Schedule!AF20=8,Schedule!#REF!,IF(Schedule!AF20=9,Schedule!$AQ$12,IF(Schedule!AF20=10,Schedule!$AQ$13,IF(Schedule!AF20=11,Schedule!#REF!,IF(Schedule!AF20=12,Schedule!#REF!,IF(Schedule!AF20=13,Schedule!$AQ$14,IF(Schedule!AF20=14,Schedule!#REF!,IF(Schedule!AF20=15,Schedule!$AQ$15,IF(Schedule!AF20=16,Schedule!#REF!,IF(Schedule!AF20=17,Schedule!#REF!,IF(Schedule!AF20=18,Schedule!$AQ$16,IF(Schedule!AF20=19,Schedule!$AQ$17,IF(Schedule!AF20=20,Schedule!$AQ$18,IF(Schedule!AF20=21,Schedule!#REF!))))))))))))))))))))))</f>
        <v>OFF</v>
      </c>
      <c r="AF16" s="72" t="str">
        <f>IF(Schedule!AG20=0,Schedule!$AQ$3,IF(Schedule!AG20=1,Schedule!$AQ$4,IF(Schedule!AG20=2,Schedule!$AQ$5,IF(Schedule!AG20=3,Schedule!$AQ$6,IF(Schedule!AG20=4,Schedule!$AQ$7,IF(Schedule!AG20=5,Schedule!$AQ$8,IF(Schedule!AG20=6,Schedule!$AQ$9,IF(Schedule!AG20=7,Schedule!$AQ$10,IF(Schedule!AG20=8,Schedule!#REF!,IF(Schedule!AG20=9,Schedule!$AQ$12,IF(Schedule!AG20=10,Schedule!$AQ$13,IF(Schedule!AG20=11,Schedule!#REF!,IF(Schedule!AG20=12,Schedule!#REF!,IF(Schedule!AG20=13,Schedule!$AQ$14,IF(Schedule!AG20=14,Schedule!#REF!,IF(Schedule!AG20=15,Schedule!$AQ$15,IF(Schedule!AG20=16,Schedule!#REF!,IF(Schedule!AG20=17,Schedule!#REF!,IF(Schedule!AG20=18,Schedule!$AQ$16,IF(Schedule!AG20=19,Schedule!$AQ$17,IF(Schedule!AG20=20,Schedule!$AQ$18,IF(Schedule!AG20=21,Schedule!#REF!))))))))))))))))))))))</f>
        <v>OFF</v>
      </c>
      <c r="AG16" s="72" t="str">
        <f>IF(Schedule!AH20=0,Schedule!$AQ$3,IF(Schedule!AH20=1,Schedule!$AQ$4,IF(Schedule!AH20=2,Schedule!$AQ$5,IF(Schedule!AH20=3,Schedule!$AQ$6,IF(Schedule!AH20=4,Schedule!$AQ$7,IF(Schedule!AH20=5,Schedule!$AQ$8,IF(Schedule!AH20=6,Schedule!$AQ$9,IF(Schedule!AH20=7,Schedule!$AQ$10,IF(Schedule!AH20=8,Schedule!#REF!,IF(Schedule!AH20=9,Schedule!$AQ$12,IF(Schedule!AH20=10,Schedule!$AQ$13,IF(Schedule!AH20=11,Schedule!#REF!,IF(Schedule!AH20=12,Schedule!#REF!,IF(Schedule!AH20=13,Schedule!$AQ$14,IF(Schedule!AH20=14,Schedule!#REF!,IF(Schedule!AH20=15,Schedule!$AQ$15,IF(Schedule!AH20=16,Schedule!#REF!,IF(Schedule!AH20=17,Schedule!#REF!,IF(Schedule!AH20=18,Schedule!$AQ$16,IF(Schedule!AH20=19,Schedule!$AQ$17,IF(Schedule!AH20=20,Schedule!$AQ$18,IF(Schedule!AH20=21,Schedule!#REF!))))))))))))))))))))))</f>
        <v xml:space="preserve">VC(1)/ Booth </v>
      </c>
      <c r="AH16" s="72" t="e">
        <f>IF(Schedule!AI20=0,Schedule!$AQ$3,IF(Schedule!AI20=1,Schedule!$AQ$4,IF(Schedule!AI20=2,Schedule!$AQ$5,IF(Schedule!AI20=3,Schedule!$AQ$6,IF(Schedule!AI20=4,Schedule!$AQ$7,IF(Schedule!AI20=5,Schedule!$AQ$8,IF(Schedule!AI20=6,Schedule!$AQ$9,IF(Schedule!AI20=7,Schedule!$AQ$10,IF(Schedule!AI20=8,Schedule!#REF!,IF(Schedule!AI20=9,Schedule!$AQ$12,IF(Schedule!AI20=10,Schedule!$AQ$13,IF(Schedule!AI20=11,Schedule!#REF!,IF(Schedule!AI20=12,Schedule!#REF!,IF(Schedule!AI20=13,Schedule!$AQ$14,IF(Schedule!AI20=14,Schedule!#REF!,IF(Schedule!AI20=15,Schedule!$AQ$15,IF(Schedule!AI20=16,Schedule!#REF!,IF(Schedule!AI20=17,Schedule!#REF!,IF(Schedule!AI20=18,Schedule!$AQ$16,IF(Schedule!AI20=19,Schedule!$AQ$17,IF(Schedule!AI20=20,Schedule!$AQ$18,IF(Schedule!AI20=21,Schedule!#REF!))))))))))))))))))))))</f>
        <v>#REF!</v>
      </c>
      <c r="AI16" s="72" t="str">
        <f>IF(Schedule!AJ20=0,Schedule!$AQ$3,IF(Schedule!AJ20=1,Schedule!$AQ$4,IF(Schedule!AJ20=2,Schedule!$AQ$5,IF(Schedule!AJ20=3,Schedule!$AQ$6,IF(Schedule!AJ20=4,Schedule!$AQ$7,IF(Schedule!AJ20=5,Schedule!$AQ$8,IF(Schedule!AJ20=6,Schedule!$AQ$9,IF(Schedule!AJ20=7,Schedule!$AQ$10,IF(Schedule!AJ20=8,Schedule!#REF!,IF(Schedule!AJ20=9,Schedule!$AQ$12,IF(Schedule!AJ20=10,Schedule!$AQ$13,IF(Schedule!AJ20=11,Schedule!#REF!,IF(Schedule!AJ20=12,Schedule!#REF!,IF(Schedule!AJ20=13,Schedule!$AQ$14,IF(Schedule!AJ20=14,Schedule!#REF!,IF(Schedule!AJ20=15,Schedule!$AQ$15,IF(Schedule!AJ20=16,Schedule!#REF!,IF(Schedule!AJ20=17,Schedule!#REF!,IF(Schedule!AJ20=18,Schedule!$AQ$16,IF(Schedule!AJ20=19,Schedule!$AQ$17,IF(Schedule!AJ20=20,Schedule!$AQ$18,IF(Schedule!AJ20=21,Schedule!#REF!))))))))))))))))))))))</f>
        <v xml:space="preserve">Booth(2)/ VC </v>
      </c>
      <c r="AJ16" s="72" t="str">
        <f>IF(Schedule!AK20=0,Schedule!$AQ$3,IF(Schedule!AK20=1,Schedule!$AQ$4,IF(Schedule!AK20=2,Schedule!$AQ$5,IF(Schedule!AK20=3,Schedule!$AQ$6,IF(Schedule!AK20=4,Schedule!$AQ$7,IF(Schedule!AK20=5,Schedule!$AQ$8,IF(Schedule!AK20=6,Schedule!$AQ$9,IF(Schedule!AK20=7,Schedule!$AQ$10,IF(Schedule!AK20=8,Schedule!#REF!,IF(Schedule!AK20=9,Schedule!$AQ$12,IF(Schedule!AK20=10,Schedule!$AQ$13,IF(Schedule!AK20=11,Schedule!#REF!,IF(Schedule!AK20=12,Schedule!#REF!,IF(Schedule!AK20=13,Schedule!$AQ$14,IF(Schedule!AK20=14,Schedule!#REF!,IF(Schedule!AK20=15,Schedule!$AQ$15,IF(Schedule!AK20=16,Schedule!#REF!,IF(Schedule!AK20=17,Schedule!#REF!,IF(Schedule!AK20=18,Schedule!$AQ$16,IF(Schedule!AK20=19,Schedule!$AQ$17,IF(Schedule!AK20=20,Schedule!$AQ$18,IF(Schedule!AK20=21,Schedule!#REF!))))))))))))))))))))))</f>
        <v>OFF</v>
      </c>
      <c r="AK16" s="72" t="str">
        <f>IF(Schedule!AL20=0,Schedule!$AQ$3,IF(Schedule!AL20=1,Schedule!$AQ$4,IF(Schedule!AL20=2,Schedule!$AQ$5,IF(Schedule!AL20=3,Schedule!$AQ$6,IF(Schedule!AL20=4,Schedule!$AQ$7,IF(Schedule!AL20=5,Schedule!$AQ$8,IF(Schedule!AL20=6,Schedule!$AQ$9,IF(Schedule!AL20=7,Schedule!$AQ$10,IF(Schedule!AL20=8,Schedule!#REF!,IF(Schedule!AL20=9,Schedule!$AQ$12,IF(Schedule!AL20=10,Schedule!$AQ$13,IF(Schedule!AL20=11,Schedule!#REF!,IF(Schedule!AL20=12,Schedule!#REF!,IF(Schedule!AL20=13,Schedule!$AQ$14,IF(Schedule!AL20=14,Schedule!#REF!,IF(Schedule!AL20=15,Schedule!$AQ$15,IF(Schedule!AL20=16,Schedule!#REF!,IF(Schedule!AL20=17,Schedule!#REF!,IF(Schedule!AL20=18,Schedule!$AQ$16,IF(Schedule!AL20=19,Schedule!$AQ$17,IF(Schedule!AL20=20,Schedule!$AQ$18,IF(Schedule!AL20=21,Schedule!#REF!))))))))))))))))))))))</f>
        <v>OFF</v>
      </c>
    </row>
    <row r="17" spans="1:37" ht="22" customHeight="1" x14ac:dyDescent="0.2">
      <c r="A17" s="67" t="str">
        <f>Schedule!D15</f>
        <v>Doe</v>
      </c>
      <c r="B17" s="67" t="str">
        <f>Schedule!C15</f>
        <v>Jane</v>
      </c>
      <c r="C17" s="54"/>
      <c r="D17" s="54"/>
      <c r="E17" s="54"/>
      <c r="F17" s="64"/>
      <c r="G17" s="72" t="str">
        <f>IF(Schedule!E16=0,Schedule!$AQ$3,IF(Schedule!E16=1,Schedule!$AQ$4,IF(Schedule!E16=2,Schedule!$AQ$5,IF(Schedule!E16=3,Schedule!$AQ$6,IF(Schedule!E16=4,Schedule!$AQ$7,IF(Schedule!E16=5,Schedule!$AQ$8,IF(Schedule!E16=6,Schedule!$AQ$9,IF(Schedule!E16=7,Schedule!$AQ$10,IF(Schedule!E16=8,Schedule!#REF!,IF(Schedule!E16=9,Schedule!$AQ$12,IF(Schedule!E16=10,Schedule!$AQ$13,IF(Schedule!E16=11,Schedule!#REF!,IF(Schedule!E16=12,Schedule!#REF!,IF(Schedule!E16=13,Schedule!$AQ$14,IF(Schedule!E16=14,Schedule!#REF!,IF(Schedule!E16=15,Schedule!$AQ$15,IF(Schedule!E16=16,Schedule!#REF!,IF(Schedule!E16=17,Schedule!#REF!,IF(Schedule!E16=18,Schedule!$AQ$16,IF(Schedule!E16=19,Schedule!$AQ$17,IF(Schedule!E16=20,Schedule!$AQ$18,IF(Schedule!E16=21,Schedule!#REF!))))))))))))))))))))))</f>
        <v>Stop 7(2)/ 5&amp;9</v>
      </c>
      <c r="H17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7" s="72" t="str">
        <f>IF(Schedule!F6=0,Schedule!$AQ$3,IF(Schedule!F6=1,Schedule!$AQ$4,IF(Schedule!F6=2,Schedule!$AQ$5,IF(Schedule!F6=3,Schedule!$AQ$6,IF(Schedule!F6=4,Schedule!$AQ$7,IF(Schedule!F6=5,Schedule!$AQ$8,IF(Schedule!F6=6,Schedule!$AQ$9,IF(Schedule!F6=7,Schedule!$AQ$10,IF(Schedule!F6=8,Schedule!#REF!,IF(Schedule!F6=9,Schedule!$AQ$12,IF(Schedule!F6=10,Schedule!$AQ$13,IF(Schedule!F6=11,Schedule!#REF!,IF(Schedule!F6=12,Schedule!#REF!,IF(Schedule!F6=13,Schedule!$AQ$14,IF(Schedule!F6=14,Schedule!#REF!,IF(Schedule!F6=15,Schedule!$AQ$15,IF(Schedule!F6=16,Schedule!#REF!,IF(Schedule!F6=17,Schedule!#REF!,IF(Schedule!F6=18,Schedule!$AQ$16,IF(Schedule!F6=19,Schedule!$AQ$17,IF(Schedule!F6=20,Schedule!$AQ$18,IF(Schedule!F6=21,Schedule!#REF!))))))))))))))))))))))</f>
        <v>Art(1)/ Stop 7</v>
      </c>
      <c r="J17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K17" s="72" t="str">
        <f>IF(Schedule!K16=0,Schedule!$AQ$3,IF(Schedule!K16=1,Schedule!$AQ$4,IF(Schedule!K16=2,Schedule!$AQ$5,IF(Schedule!K16=3,Schedule!$AQ$6,IF(Schedule!K16=4,Schedule!$AQ$7,IF(Schedule!K16=5,Schedule!$AQ$8,IF(Schedule!K16=6,Schedule!$AQ$9,IF(Schedule!K16=7,Schedule!$AQ$10,IF(Schedule!K16=8,Schedule!#REF!,IF(Schedule!K16=9,Schedule!$AQ$12,IF(Schedule!K16=10,Schedule!$AQ$13,IF(Schedule!K16=11,Schedule!#REF!,IF(Schedule!K16=12,Schedule!#REF!,IF(Schedule!K16=13,Schedule!$AQ$14,IF(Schedule!K16=14,Schedule!#REF!,IF(Schedule!K16=15,Schedule!$AQ$15,IF(Schedule!K16=16,Schedule!#REF!,IF(Schedule!K16=17,Schedule!#REF!,IF(Schedule!K16=18,Schedule!$AQ$16,IF(Schedule!K16=19,Schedule!$AQ$17,IF(Schedule!K16=20,Schedule!$AQ$18,IF(Schedule!K16=21,Schedule!#REF!))))))))))))))))))))))</f>
        <v>OFF</v>
      </c>
      <c r="L17" s="72" t="str">
        <f>IF(Schedule!M16=0,Schedule!$AQ$3,IF(Schedule!M16=1,Schedule!$AQ$4,IF(Schedule!M16=2,Schedule!$AQ$5,IF(Schedule!M16=3,Schedule!$AQ$6,IF(Schedule!M16=4,Schedule!$AQ$7,IF(Schedule!M16=5,Schedule!$AQ$8,IF(Schedule!M16=6,Schedule!$AQ$9,IF(Schedule!M16=7,Schedule!$AQ$10,IF(Schedule!M16=8,Schedule!#REF!,IF(Schedule!M16=9,Schedule!$AQ$12,IF(Schedule!M16=10,Schedule!$AQ$13,IF(Schedule!M16=11,Schedule!#REF!,IF(Schedule!M16=12,Schedule!#REF!,IF(Schedule!M16=13,Schedule!$AQ$14,IF(Schedule!M16=14,Schedule!#REF!,IF(Schedule!M16=15,Schedule!$AQ$15,IF(Schedule!M16=16,Schedule!#REF!,IF(Schedule!M16=17,Schedule!#REF!,IF(Schedule!M16=18,Schedule!$AQ$16,IF(Schedule!M16=19,Schedule!$AQ$17,IF(Schedule!M16=20,Schedule!$AQ$18,IF(Schedule!M16=21,Schedule!#REF!))))))))))))))))))))))</f>
        <v xml:space="preserve">Booth(1)/ VC </v>
      </c>
      <c r="M17" s="72" t="str">
        <f>IF(Schedule!N16=0,Schedule!$AQ$3,IF(Schedule!N16=1,Schedule!$AQ$4,IF(Schedule!N16=2,Schedule!$AQ$5,IF(Schedule!N16=3,Schedule!$AQ$6,IF(Schedule!N16=4,Schedule!$AQ$7,IF(Schedule!N16=5,Schedule!$AQ$8,IF(Schedule!N16=6,Schedule!$AQ$9,IF(Schedule!N16=7,Schedule!$AQ$10,IF(Schedule!N16=8,Schedule!#REF!,IF(Schedule!N16=9,Schedule!$AQ$12,IF(Schedule!N16=10,Schedule!$AQ$13,IF(Schedule!N16=11,Schedule!#REF!,IF(Schedule!N16=12,Schedule!#REF!,IF(Schedule!N16=13,Schedule!$AQ$14,IF(Schedule!N16=14,Schedule!#REF!,IF(Schedule!N16=15,Schedule!$AQ$15,IF(Schedule!N16=16,Schedule!#REF!,IF(Schedule!N16=17,Schedule!#REF!,IF(Schedule!N16=18,Schedule!$AQ$16,IF(Schedule!N16=19,Schedule!$AQ$17,IF(Schedule!N16=20,Schedule!$AQ$18,IF(Schedule!N16=21,Schedule!#REF!))))))))))))))))))))))</f>
        <v>Art(1)/ Stop 7</v>
      </c>
      <c r="N17" s="72" t="str">
        <f>IF(Schedule!O16=0,Schedule!$AQ$3,IF(Schedule!O16=1,Schedule!$AQ$4,IF(Schedule!O16=2,Schedule!$AQ$5,IF(Schedule!O16=3,Schedule!$AQ$6,IF(Schedule!O16=4,Schedule!$AQ$7,IF(Schedule!O16=5,Schedule!$AQ$8,IF(Schedule!O16=6,Schedule!$AQ$9,IF(Schedule!O16=7,Schedule!$AQ$10,IF(Schedule!O16=8,Schedule!#REF!,IF(Schedule!O16=9,Schedule!$AQ$12,IF(Schedule!O16=10,Schedule!$AQ$13,IF(Schedule!O16=11,Schedule!#REF!,IF(Schedule!O16=12,Schedule!#REF!,IF(Schedule!O16=13,Schedule!$AQ$14,IF(Schedule!O16=14,Schedule!#REF!,IF(Schedule!O16=15,Schedule!$AQ$15,IF(Schedule!O16=16,Schedule!#REF!,IF(Schedule!O16=17,Schedule!#REF!,IF(Schedule!O16=18,Schedule!$AQ$16,IF(Schedule!O16=19,Schedule!$AQ$17,IF(Schedule!O16=20,Schedule!$AQ$18,IF(Schedule!O16=21,Schedule!#REF!))))))))))))))))))))))</f>
        <v xml:space="preserve">VC(2)/ Booth  </v>
      </c>
      <c r="O17" s="72" t="str">
        <f>IF(Schedule!P16=0,Schedule!$AQ$3,IF(Schedule!P16=1,Schedule!$AQ$4,IF(Schedule!P16=2,Schedule!$AQ$5,IF(Schedule!P16=3,Schedule!$AQ$6,IF(Schedule!P16=4,Schedule!$AQ$7,IF(Schedule!P16=5,Schedule!$AQ$8,IF(Schedule!P16=6,Schedule!$AQ$9,IF(Schedule!P16=7,Schedule!$AQ$10,IF(Schedule!P16=8,Schedule!#REF!,IF(Schedule!P16=9,Schedule!$AQ$12,IF(Schedule!P16=10,Schedule!$AQ$13,IF(Schedule!P16=11,Schedule!#REF!,IF(Schedule!P16=12,Schedule!#REF!,IF(Schedule!P16=13,Schedule!$AQ$14,IF(Schedule!P16=14,Schedule!#REF!,IF(Schedule!P16=15,Schedule!$AQ$15,IF(Schedule!P16=16,Schedule!#REF!,IF(Schedule!P16=17,Schedule!#REF!,IF(Schedule!P16=18,Schedule!$AQ$16,IF(Schedule!P16=19,Schedule!$AQ$17,IF(Schedule!P16=20,Schedule!$AQ$18,IF(Schedule!P16=21,Schedule!#REF!))))))))))))))))))))))</f>
        <v>Stop 14(2)</v>
      </c>
      <c r="P17" s="72" t="str">
        <f>IF(Schedule!Q16=0,Schedule!$AQ$3,IF(Schedule!Q16=1,Schedule!$AQ$4,IF(Schedule!Q16=2,Schedule!$AQ$5,IF(Schedule!Q16=3,Schedule!$AQ$6,IF(Schedule!Q16=4,Schedule!$AQ$7,IF(Schedule!Q16=5,Schedule!$AQ$8,IF(Schedule!Q16=6,Schedule!$AQ$9,IF(Schedule!Q16=7,Schedule!$AQ$10,IF(Schedule!Q16=8,Schedule!#REF!,IF(Schedule!Q16=9,Schedule!$AQ$12,IF(Schedule!Q16=10,Schedule!$AQ$13,IF(Schedule!Q16=11,Schedule!#REF!,IF(Schedule!Q16=12,Schedule!#REF!,IF(Schedule!Q16=13,Schedule!$AQ$14,IF(Schedule!Q16=14,Schedule!#REF!,IF(Schedule!Q16=15,Schedule!$AQ$15,IF(Schedule!Q16=16,Schedule!#REF!,IF(Schedule!Q16=17,Schedule!#REF!,IF(Schedule!Q16=18,Schedule!$AQ$16,IF(Schedule!Q16=19,Schedule!$AQ$17,IF(Schedule!Q16=20,Schedule!$AQ$18,IF(Schedule!Q16=21,Schedule!#REF!))))))))))))))))))))))</f>
        <v>OFF</v>
      </c>
      <c r="Q17" s="72" t="str">
        <f>IF(Schedule!R16=0,Schedule!$AQ$3,IF(Schedule!R16=1,Schedule!$AQ$4,IF(Schedule!R16=2,Schedule!$AQ$5,IF(Schedule!R16=3,Schedule!$AQ$6,IF(Schedule!R16=4,Schedule!$AQ$7,IF(Schedule!R16=5,Schedule!$AQ$8,IF(Schedule!R16=6,Schedule!$AQ$9,IF(Schedule!R16=7,Schedule!$AQ$10,IF(Schedule!R16=8,Schedule!#REF!,IF(Schedule!R16=9,Schedule!$AQ$12,IF(Schedule!R16=10,Schedule!$AQ$13,IF(Schedule!R16=11,Schedule!#REF!,IF(Schedule!R16=12,Schedule!#REF!,IF(Schedule!R16=13,Schedule!$AQ$14,IF(Schedule!R16=14,Schedule!#REF!,IF(Schedule!R16=15,Schedule!$AQ$15,IF(Schedule!R16=16,Schedule!#REF!,IF(Schedule!R16=17,Schedule!#REF!,IF(Schedule!R16=18,Schedule!$AQ$16,IF(Schedule!R16=19,Schedule!$AQ$17,IF(Schedule!R16=20,Schedule!$AQ$18,IF(Schedule!R16=21,Schedule!#REF!))))))))))))))))))))))</f>
        <v>Stop 14(2)</v>
      </c>
      <c r="R17" s="72" t="e">
        <f>IF(Schedule!S16=0,Schedule!$AQ$3,IF(Schedule!S16=1,Schedule!$AQ$4,IF(Schedule!S16=2,Schedule!$AQ$5,IF(Schedule!S16=3,Schedule!$AQ$6,IF(Schedule!S16=4,Schedule!$AQ$7,IF(Schedule!S16=5,Schedule!$AQ$8,IF(Schedule!S16=6,Schedule!$AQ$9,IF(Schedule!S16=7,Schedule!$AQ$10,IF(Schedule!S16=8,Schedule!#REF!,IF(Schedule!S16=9,Schedule!$AQ$12,IF(Schedule!S16=10,Schedule!$AQ$13,IF(Schedule!S16=11,Schedule!#REF!,IF(Schedule!S16=12,Schedule!#REF!,IF(Schedule!S16=13,Schedule!$AQ$14,IF(Schedule!S16=14,Schedule!#REF!,IF(Schedule!S16=15,Schedule!$AQ$15,IF(Schedule!S16=16,Schedule!#REF!,IF(Schedule!S16=17,Schedule!#REF!,IF(Schedule!S16=18,Schedule!$AQ$16,IF(Schedule!S16=19,Schedule!$AQ$17,IF(Schedule!S16=20,Schedule!$AQ$18,IF(Schedule!S16=21,Schedule!#REF!))))))))))))))))))))))</f>
        <v>#REF!</v>
      </c>
      <c r="S17" s="72" t="str">
        <f>IF(Schedule!T16=0,Schedule!$AQ$3,IF(Schedule!T16=1,Schedule!$AQ$4,IF(Schedule!T16=2,Schedule!$AQ$5,IF(Schedule!T16=3,Schedule!$AQ$6,IF(Schedule!T16=4,Schedule!$AQ$7,IF(Schedule!T16=5,Schedule!$AQ$8,IF(Schedule!T16=6,Schedule!$AQ$9,IF(Schedule!T16=7,Schedule!$AQ$10,IF(Schedule!T16=8,Schedule!#REF!,IF(Schedule!T16=9,Schedule!$AQ$12,IF(Schedule!T16=10,Schedule!$AQ$13,IF(Schedule!T16=11,Schedule!#REF!,IF(Schedule!T16=12,Schedule!#REF!,IF(Schedule!T16=13,Schedule!$AQ$14,IF(Schedule!T16=14,Schedule!#REF!,IF(Schedule!T16=15,Schedule!$AQ$15,IF(Schedule!T16=16,Schedule!#REF!,IF(Schedule!T16=17,Schedule!#REF!,IF(Schedule!T16=18,Schedule!$AQ$16,IF(Schedule!T16=19,Schedule!$AQ$17,IF(Schedule!T16=20,Schedule!$AQ$18,IF(Schedule!T16=21,Schedule!#REF!))))))))))))))))))))))</f>
        <v>OFF</v>
      </c>
      <c r="T17" s="72" t="str">
        <f>IF(Schedule!U16=0,Schedule!$AQ$3,IF(Schedule!U16=1,Schedule!$AQ$4,IF(Schedule!U16=2,Schedule!$AQ$5,IF(Schedule!U16=3,Schedule!$AQ$6,IF(Schedule!U16=4,Schedule!$AQ$7,IF(Schedule!U16=5,Schedule!$AQ$8,IF(Schedule!U16=6,Schedule!$AQ$9,IF(Schedule!U16=7,Schedule!$AQ$10,IF(Schedule!U16=8,Schedule!#REF!,IF(Schedule!U16=9,Schedule!$AQ$12,IF(Schedule!U16=10,Schedule!$AQ$13,IF(Schedule!U16=11,Schedule!#REF!,IF(Schedule!U16=12,Schedule!#REF!,IF(Schedule!U16=13,Schedule!$AQ$14,IF(Schedule!U16=14,Schedule!#REF!,IF(Schedule!U16=15,Schedule!$AQ$15,IF(Schedule!U16=16,Schedule!#REF!,IF(Schedule!U16=17,Schedule!#REF!,IF(Schedule!U16=18,Schedule!$AQ$16,IF(Schedule!U16=19,Schedule!$AQ$17,IF(Schedule!U16=20,Schedule!$AQ$18,IF(Schedule!U16=21,Schedule!#REF!))))))))))))))))))))))</f>
        <v>OFF</v>
      </c>
      <c r="U17" s="72" t="str">
        <f>IF(Schedule!V16=0,Schedule!$AQ$3,IF(Schedule!V16=1,Schedule!$AQ$4,IF(Schedule!V16=2,Schedule!$AQ$5,IF(Schedule!V16=3,Schedule!$AQ$6,IF(Schedule!V16=4,Schedule!$AQ$7,IF(Schedule!V16=5,Schedule!$AQ$8,IF(Schedule!V16=6,Schedule!$AQ$9,IF(Schedule!V16=7,Schedule!$AQ$10,IF(Schedule!V16=8,Schedule!#REF!,IF(Schedule!V16=9,Schedule!$AQ$12,IF(Schedule!V16=10,Schedule!$AQ$13,IF(Schedule!V16=11,Schedule!#REF!,IF(Schedule!V16=12,Schedule!#REF!,IF(Schedule!V16=13,Schedule!$AQ$14,IF(Schedule!V16=14,Schedule!#REF!,IF(Schedule!V16=15,Schedule!$AQ$15,IF(Schedule!V16=16,Schedule!#REF!,IF(Schedule!V16=17,Schedule!#REF!,IF(Schedule!V16=18,Schedule!$AQ$16,IF(Schedule!V16=19,Schedule!$AQ$17,IF(Schedule!V16=20,Schedule!$AQ$18,IF(Schedule!V16=21,Schedule!#REF!))))))))))))))))))))))</f>
        <v xml:space="preserve">VC(1)/ Booth </v>
      </c>
      <c r="V17" s="72" t="str">
        <f>IF(Schedule!W16=0,Schedule!$AQ$3,IF(Schedule!W16=1,Schedule!$AQ$4,IF(Schedule!W16=2,Schedule!$AQ$5,IF(Schedule!W16=3,Schedule!$AQ$6,IF(Schedule!W16=4,Schedule!$AQ$7,IF(Schedule!W16=5,Schedule!$AQ$8,IF(Schedule!W16=6,Schedule!$AQ$9,IF(Schedule!W16=7,Schedule!$AQ$10,IF(Schedule!W16=8,Schedule!#REF!,IF(Schedule!W16=9,Schedule!$AQ$12,IF(Schedule!W16=10,Schedule!$AQ$13,IF(Schedule!W16=11,Schedule!#REF!,IF(Schedule!W16=12,Schedule!#REF!,IF(Schedule!W16=13,Schedule!$AQ$14,IF(Schedule!W16=14,Schedule!#REF!,IF(Schedule!W16=15,Schedule!$AQ$15,IF(Schedule!W16=16,Schedule!#REF!,IF(Schedule!W16=17,Schedule!#REF!,IF(Schedule!W16=18,Schedule!$AQ$16,IF(Schedule!W16=19,Schedule!$AQ$17,IF(Schedule!W16=20,Schedule!$AQ$18,IF(Schedule!W16=21,Schedule!#REF!))))))))))))))))))))))</f>
        <v>Art(1)/ Stop 7</v>
      </c>
      <c r="W17" s="72" t="str">
        <f>IF(Schedule!X16=0,Schedule!$AQ$3,IF(Schedule!X16=1,Schedule!$AQ$4,IF(Schedule!X16=2,Schedule!$AQ$5,IF(Schedule!X16=3,Schedule!$AQ$6,IF(Schedule!X16=4,Schedule!$AQ$7,IF(Schedule!X16=5,Schedule!$AQ$8,IF(Schedule!X16=6,Schedule!$AQ$9,IF(Schedule!X16=7,Schedule!$AQ$10,IF(Schedule!X16=8,Schedule!#REF!,IF(Schedule!X16=9,Schedule!$AQ$12,IF(Schedule!X16=10,Schedule!$AQ$13,IF(Schedule!X16=11,Schedule!#REF!,IF(Schedule!X16=12,Schedule!#REF!,IF(Schedule!X16=13,Schedule!$AQ$14,IF(Schedule!X16=14,Schedule!#REF!,IF(Schedule!X16=15,Schedule!$AQ$15,IF(Schedule!X16=16,Schedule!#REF!,IF(Schedule!X16=17,Schedule!#REF!,IF(Schedule!X16=18,Schedule!$AQ$16,IF(Schedule!X16=19,Schedule!$AQ$17,IF(Schedule!X16=20,Schedule!$AQ$18,IF(Schedule!X16=21,Schedule!#REF!))))))))))))))))))))))</f>
        <v>OFF</v>
      </c>
      <c r="X17" s="72" t="str">
        <f>IF(Schedule!Y16=0,Schedule!$AQ$3,IF(Schedule!Y16=1,Schedule!$AQ$4,IF(Schedule!Y16=2,Schedule!$AQ$5,IF(Schedule!Y16=3,Schedule!$AQ$6,IF(Schedule!Y16=4,Schedule!$AQ$7,IF(Schedule!Y16=5,Schedule!$AQ$8,IF(Schedule!Y16=6,Schedule!$AQ$9,IF(Schedule!Y16=7,Schedule!$AQ$10,IF(Schedule!Y16=8,Schedule!#REF!,IF(Schedule!Y16=9,Schedule!$AQ$12,IF(Schedule!Y16=10,Schedule!$AQ$13,IF(Schedule!Y16=11,Schedule!#REF!,IF(Schedule!Y16=12,Schedule!#REF!,IF(Schedule!Y16=13,Schedule!$AQ$14,IF(Schedule!Y16=14,Schedule!#REF!,IF(Schedule!Y16=15,Schedule!$AQ$15,IF(Schedule!Y16=16,Schedule!#REF!,IF(Schedule!Y16=17,Schedule!#REF!,IF(Schedule!Y16=18,Schedule!$AQ$16,IF(Schedule!Y16=19,Schedule!$AQ$17,IF(Schedule!Y16=20,Schedule!$AQ$18,IF(Schedule!Y16=21,Schedule!#REF!))))))))))))))))))))))</f>
        <v>OFF</v>
      </c>
      <c r="Y17" s="72" t="str">
        <f>IF(Schedule!Z16=0,Schedule!$AQ$3,IF(Schedule!Z16=1,Schedule!$AQ$4,IF(Schedule!Z16=2,Schedule!$AQ$5,IF(Schedule!Z16=3,Schedule!$AQ$6,IF(Schedule!Z16=4,Schedule!$AQ$7,IF(Schedule!Z16=5,Schedule!$AQ$8,IF(Schedule!Z16=6,Schedule!$AQ$9,IF(Schedule!Z16=7,Schedule!$AQ$10,IF(Schedule!Z16=8,Schedule!#REF!,IF(Schedule!Z16=9,Schedule!$AQ$12,IF(Schedule!Z16=10,Schedule!$AQ$13,IF(Schedule!Z16=11,Schedule!#REF!,IF(Schedule!Z16=12,Schedule!#REF!,IF(Schedule!Z16=13,Schedule!$AQ$14,IF(Schedule!Z16=14,Schedule!#REF!,IF(Schedule!Z16=15,Schedule!$AQ$15,IF(Schedule!Z16=16,Schedule!#REF!,IF(Schedule!Z16=17,Schedule!#REF!,IF(Schedule!Z16=18,Schedule!$AQ$16,IF(Schedule!Z16=19,Schedule!$AQ$17,IF(Schedule!Z16=20,Schedule!$AQ$18,IF(Schedule!Z16=21,Schedule!#REF!))))))))))))))))))))))</f>
        <v>Stop 7(2)/ 5&amp;9</v>
      </c>
      <c r="Z17" s="72" t="str">
        <f>IF(Schedule!AA16=0,Schedule!$AQ$3,IF(Schedule!AA16=1,Schedule!$AQ$4,IF(Schedule!AA16=2,Schedule!$AQ$5,IF(Schedule!AA16=3,Schedule!$AQ$6,IF(Schedule!AA16=4,Schedule!$AQ$7,IF(Schedule!AA16=5,Schedule!$AQ$8,IF(Schedule!AA16=6,Schedule!$AQ$9,IF(Schedule!AA16=7,Schedule!$AQ$10,IF(Schedule!AA16=8,Schedule!#REF!,IF(Schedule!AA16=9,Schedule!$AQ$12,IF(Schedule!AA16=10,Schedule!$AQ$13,IF(Schedule!AA16=11,Schedule!#REF!,IF(Schedule!AA16=12,Schedule!#REF!,IF(Schedule!AA16=13,Schedule!$AQ$14,IF(Schedule!AA16=14,Schedule!#REF!,IF(Schedule!AA16=15,Schedule!$AQ$15,IF(Schedule!AA16=16,Schedule!#REF!,IF(Schedule!AA16=17,Schedule!#REF!,IF(Schedule!AA16=18,Schedule!$AQ$16,IF(Schedule!AA16=19,Schedule!$AQ$17,IF(Schedule!AA16=20,Schedule!$AQ$18,IF(Schedule!AA16=21,Schedule!#REF!))))))))))))))))))))))</f>
        <v xml:space="preserve">VC(2)/ Booth  </v>
      </c>
      <c r="AA17" s="72" t="str">
        <f>IF(Schedule!AB16=0,Schedule!$AQ$3,IF(Schedule!AB16=1,Schedule!$AQ$4,IF(Schedule!AB16=2,Schedule!$AQ$5,IF(Schedule!AB16=3,Schedule!$AQ$6,IF(Schedule!AB16=4,Schedule!$AQ$7,IF(Schedule!AB16=5,Schedule!$AQ$8,IF(Schedule!AB16=6,Schedule!$AQ$9,IF(Schedule!AB16=7,Schedule!$AQ$10,IF(Schedule!AB16=8,Schedule!#REF!,IF(Schedule!AB16=9,Schedule!$AQ$12,IF(Schedule!AB16=10,Schedule!$AQ$13,IF(Schedule!AB16=11,Schedule!#REF!,IF(Schedule!AB16=12,Schedule!#REF!,IF(Schedule!AB16=13,Schedule!$AQ$14,IF(Schedule!AB16=14,Schedule!#REF!,IF(Schedule!AB16=15,Schedule!$AQ$15,IF(Schedule!AB16=16,Schedule!#REF!,IF(Schedule!AB16=17,Schedule!#REF!,IF(Schedule!AB16=18,Schedule!$AQ$16,IF(Schedule!AB16=19,Schedule!$AQ$17,IF(Schedule!AB16=20,Schedule!$AQ$18,IF(Schedule!AB16=21,Schedule!#REF!))))))))))))))))))))))</f>
        <v>OFF</v>
      </c>
      <c r="AB17" s="72" t="str">
        <f>IF(Schedule!AC16=0,Schedule!$AQ$3,IF(Schedule!AC16=1,Schedule!$AQ$4,IF(Schedule!AC16=2,Schedule!$AQ$5,IF(Schedule!AC16=3,Schedule!$AQ$6,IF(Schedule!AC16=4,Schedule!$AQ$7,IF(Schedule!AC16=5,Schedule!$AQ$8,IF(Schedule!AC16=6,Schedule!$AQ$9,IF(Schedule!AC16=7,Schedule!$AQ$10,IF(Schedule!AC16=8,Schedule!#REF!,IF(Schedule!AC16=9,Schedule!$AQ$12,IF(Schedule!AC16=10,Schedule!$AQ$13,IF(Schedule!AC16=11,Schedule!#REF!,IF(Schedule!AC16=12,Schedule!#REF!,IF(Schedule!AC16=13,Schedule!$AQ$14,IF(Schedule!AC16=14,Schedule!#REF!,IF(Schedule!AC16=15,Schedule!$AQ$15,IF(Schedule!AC16=16,Schedule!#REF!,IF(Schedule!AC16=17,Schedule!#REF!,IF(Schedule!AC16=18,Schedule!$AQ$16,IF(Schedule!AC16=19,Schedule!$AQ$17,IF(Schedule!AC16=20,Schedule!$AQ$18,IF(Schedule!AC16=21,Schedule!#REF!))))))))))))))))))))))</f>
        <v>OFF</v>
      </c>
      <c r="AC17" s="72" t="str">
        <f>IF(Schedule!AD16=0,Schedule!$AQ$3,IF(Schedule!AD16=1,Schedule!$AQ$4,IF(Schedule!AD16=2,Schedule!$AQ$5,IF(Schedule!AD16=3,Schedule!$AQ$6,IF(Schedule!AD16=4,Schedule!$AQ$7,IF(Schedule!AD16=5,Schedule!$AQ$8,IF(Schedule!AD16=6,Schedule!$AQ$9,IF(Schedule!AD16=7,Schedule!$AQ$10,IF(Schedule!AD16=8,Schedule!#REF!,IF(Schedule!AD16=9,Schedule!$AQ$12,IF(Schedule!AD16=10,Schedule!$AQ$13,IF(Schedule!AD16=11,Schedule!#REF!,IF(Schedule!AD16=12,Schedule!#REF!,IF(Schedule!AD16=13,Schedule!$AQ$14,IF(Schedule!AD16=14,Schedule!#REF!,IF(Schedule!AD16=15,Schedule!$AQ$15,IF(Schedule!AD16=16,Schedule!#REF!,IF(Schedule!AD16=17,Schedule!#REF!,IF(Schedule!AD16=18,Schedule!$AQ$16,IF(Schedule!AD16=19,Schedule!$AQ$17,IF(Schedule!AD16=20,Schedule!$AQ$18,IF(Schedule!AD16=21,Schedule!#REF!))))))))))))))))))))))</f>
        <v>Stop 7(2)</v>
      </c>
      <c r="AD17" s="72" t="e">
        <f>IF(Schedule!AE16=0,Schedule!$AQ$3,IF(Schedule!AE16=1,Schedule!$AQ$4,IF(Schedule!AE16=2,Schedule!$AQ$5,IF(Schedule!AE16=3,Schedule!$AQ$6,IF(Schedule!AE16=4,Schedule!$AQ$7,IF(Schedule!AE16=5,Schedule!$AQ$8,IF(Schedule!AE16=6,Schedule!$AQ$9,IF(Schedule!AE16=7,Schedule!$AQ$10,IF(Schedule!AE16=8,Schedule!#REF!,IF(Schedule!AE16=9,Schedule!$AQ$12,IF(Schedule!AE16=10,Schedule!$AQ$13,IF(Schedule!AE16=11,Schedule!#REF!,IF(Schedule!AE16=12,Schedule!#REF!,IF(Schedule!AE16=13,Schedule!$AQ$14,IF(Schedule!AE16=14,Schedule!#REF!,IF(Schedule!AE16=15,Schedule!$AQ$15,IF(Schedule!AE16=16,Schedule!#REF!,IF(Schedule!AE16=17,Schedule!#REF!,IF(Schedule!AE16=18,Schedule!$AQ$16,IF(Schedule!AE16=19,Schedule!$AQ$17,IF(Schedule!AE16=20,Schedule!$AQ$18,IF(Schedule!AE16=21,Schedule!#REF!))))))))))))))))))))))</f>
        <v>#REF!</v>
      </c>
      <c r="AE17" s="72" t="str">
        <f>IF(Schedule!AF16=0,Schedule!$AQ$3,IF(Schedule!AF16=1,Schedule!$AQ$4,IF(Schedule!AF16=2,Schedule!$AQ$5,IF(Schedule!AF16=3,Schedule!$AQ$6,IF(Schedule!AF16=4,Schedule!$AQ$7,IF(Schedule!AF16=5,Schedule!$AQ$8,IF(Schedule!AF16=6,Schedule!$AQ$9,IF(Schedule!AF16=7,Schedule!$AQ$10,IF(Schedule!AF16=8,Schedule!#REF!,IF(Schedule!AF16=9,Schedule!$AQ$12,IF(Schedule!AF16=10,Schedule!$AQ$13,IF(Schedule!AF16=11,Schedule!#REF!,IF(Schedule!AF16=12,Schedule!#REF!,IF(Schedule!AF16=13,Schedule!$AQ$14,IF(Schedule!AF16=14,Schedule!#REF!,IF(Schedule!AF16=15,Schedule!$AQ$15,IF(Schedule!AF16=16,Schedule!#REF!,IF(Schedule!AF16=17,Schedule!#REF!,IF(Schedule!AF16=18,Schedule!$AQ$16,IF(Schedule!AF16=19,Schedule!$AQ$17,IF(Schedule!AF16=20,Schedule!$AQ$18,IF(Schedule!AF16=21,Schedule!#REF!))))))))))))))))))))))</f>
        <v>OFF</v>
      </c>
      <c r="AF17" s="72" t="str">
        <f>IF(Schedule!AG16=0,Schedule!$AQ$3,IF(Schedule!AG16=1,Schedule!$AQ$4,IF(Schedule!AG16=2,Schedule!$AQ$5,IF(Schedule!AG16=3,Schedule!$AQ$6,IF(Schedule!AG16=4,Schedule!$AQ$7,IF(Schedule!AG16=5,Schedule!$AQ$8,IF(Schedule!AG16=6,Schedule!$AQ$9,IF(Schedule!AG16=7,Schedule!$AQ$10,IF(Schedule!AG16=8,Schedule!#REF!,IF(Schedule!AG16=9,Schedule!$AQ$12,IF(Schedule!AG16=10,Schedule!$AQ$13,IF(Schedule!AG16=11,Schedule!#REF!,IF(Schedule!AG16=12,Schedule!#REF!,IF(Schedule!AG16=13,Schedule!$AQ$14,IF(Schedule!AG16=14,Schedule!#REF!,IF(Schedule!AG16=15,Schedule!$AQ$15,IF(Schedule!AG16=16,Schedule!#REF!,IF(Schedule!AG16=17,Schedule!#REF!,IF(Schedule!AG16=18,Schedule!$AQ$16,IF(Schedule!AG16=19,Schedule!$AQ$17,IF(Schedule!AG16=20,Schedule!$AQ$18,IF(Schedule!AG16=21,Schedule!#REF!))))))))))))))))))))))</f>
        <v>OFF</v>
      </c>
      <c r="AG17" s="72" t="str">
        <f>IF(Schedule!AH16=0,Schedule!$AQ$3,IF(Schedule!AH16=1,Schedule!$AQ$4,IF(Schedule!AH16=2,Schedule!$AQ$5,IF(Schedule!AH16=3,Schedule!$AQ$6,IF(Schedule!AH16=4,Schedule!$AQ$7,IF(Schedule!AH16=5,Schedule!$AQ$8,IF(Schedule!AH16=6,Schedule!$AQ$9,IF(Schedule!AH16=7,Schedule!$AQ$10,IF(Schedule!AH16=8,Schedule!#REF!,IF(Schedule!AH16=9,Schedule!$AQ$12,IF(Schedule!AH16=10,Schedule!$AQ$13,IF(Schedule!AH16=11,Schedule!#REF!,IF(Schedule!AH16=12,Schedule!#REF!,IF(Schedule!AH16=13,Schedule!$AQ$14,IF(Schedule!AH16=14,Schedule!#REF!,IF(Schedule!AH16=15,Schedule!$AQ$15,IF(Schedule!AH16=16,Schedule!#REF!,IF(Schedule!AH16=17,Schedule!#REF!,IF(Schedule!AH16=18,Schedule!$AQ$16,IF(Schedule!AH16=19,Schedule!$AQ$17,IF(Schedule!AH16=20,Schedule!$AQ$18,IF(Schedule!AH16=21,Schedule!#REF!))))))))))))))))))))))</f>
        <v>Stop 14(2)</v>
      </c>
      <c r="AH17" s="72" t="str">
        <f>IF(Schedule!AI16=0,Schedule!$AQ$3,IF(Schedule!AI16=1,Schedule!$AQ$4,IF(Schedule!AI16=2,Schedule!$AQ$5,IF(Schedule!AI16=3,Schedule!$AQ$6,IF(Schedule!AI16=4,Schedule!$AQ$7,IF(Schedule!AI16=5,Schedule!$AQ$8,IF(Schedule!AI16=6,Schedule!$AQ$9,IF(Schedule!AI16=7,Schedule!$AQ$10,IF(Schedule!AI16=8,Schedule!#REF!,IF(Schedule!AI16=9,Schedule!$AQ$12,IF(Schedule!AI16=10,Schedule!$AQ$13,IF(Schedule!AI16=11,Schedule!#REF!,IF(Schedule!AI16=12,Schedule!#REF!,IF(Schedule!AI16=13,Schedule!$AQ$14,IF(Schedule!AI16=14,Schedule!#REF!,IF(Schedule!AI16=15,Schedule!$AQ$15,IF(Schedule!AI16=16,Schedule!#REF!,IF(Schedule!AI16=17,Schedule!#REF!,IF(Schedule!AI16=18,Schedule!$AQ$16,IF(Schedule!AI16=19,Schedule!$AQ$17,IF(Schedule!AI16=20,Schedule!$AQ$18,IF(Schedule!AI16=21,Schedule!#REF!))))))))))))))))))))))</f>
        <v xml:space="preserve">Booth(2)/ VC </v>
      </c>
      <c r="AI17" s="72" t="str">
        <f>IF(Schedule!AJ16=0,Schedule!$AQ$3,IF(Schedule!AJ16=1,Schedule!$AQ$4,IF(Schedule!AJ16=2,Schedule!$AQ$5,IF(Schedule!AJ16=3,Schedule!$AQ$6,IF(Schedule!AJ16=4,Schedule!$AQ$7,IF(Schedule!AJ16=5,Schedule!$AQ$8,IF(Schedule!AJ16=6,Schedule!$AQ$9,IF(Schedule!AJ16=7,Schedule!$AQ$10,IF(Schedule!AJ16=8,Schedule!#REF!,IF(Schedule!AJ16=9,Schedule!$AQ$12,IF(Schedule!AJ16=10,Schedule!$AQ$13,IF(Schedule!AJ16=11,Schedule!#REF!,IF(Schedule!AJ16=12,Schedule!#REF!,IF(Schedule!AJ16=13,Schedule!$AQ$14,IF(Schedule!AJ16=14,Schedule!#REF!,IF(Schedule!AJ16=15,Schedule!$AQ$15,IF(Schedule!AJ16=16,Schedule!#REF!,IF(Schedule!AJ16=17,Schedule!#REF!,IF(Schedule!AJ16=18,Schedule!$AQ$16,IF(Schedule!AJ16=19,Schedule!$AQ$17,IF(Schedule!AJ16=20,Schedule!$AQ$18,IF(Schedule!AJ16=21,Schedule!#REF!))))))))))))))))))))))</f>
        <v>OFF</v>
      </c>
      <c r="AJ17" s="72" t="str">
        <f>IF(Schedule!AK16=0,Schedule!$AQ$3,IF(Schedule!AK16=1,Schedule!$AQ$4,IF(Schedule!AK16=2,Schedule!$AQ$5,IF(Schedule!AK16=3,Schedule!$AQ$6,IF(Schedule!AK16=4,Schedule!$AQ$7,IF(Schedule!AK16=5,Schedule!$AQ$8,IF(Schedule!AK16=6,Schedule!$AQ$9,IF(Schedule!AK16=7,Schedule!$AQ$10,IF(Schedule!AK16=8,Schedule!#REF!,IF(Schedule!AK16=9,Schedule!$AQ$12,IF(Schedule!AK16=10,Schedule!$AQ$13,IF(Schedule!AK16=11,Schedule!#REF!,IF(Schedule!AK16=12,Schedule!#REF!,IF(Schedule!AK16=13,Schedule!$AQ$14,IF(Schedule!AK16=14,Schedule!#REF!,IF(Schedule!AK16=15,Schedule!$AQ$15,IF(Schedule!AK16=16,Schedule!#REF!,IF(Schedule!AK16=17,Schedule!#REF!,IF(Schedule!AK16=18,Schedule!$AQ$16,IF(Schedule!AK16=19,Schedule!$AQ$17,IF(Schedule!AK16=20,Schedule!$AQ$18,IF(Schedule!AK16=21,Schedule!#REF!))))))))))))))))))))))</f>
        <v>OFF</v>
      </c>
      <c r="AK17" s="72" t="str">
        <f>IF(Schedule!AL16=0,Schedule!$AQ$3,IF(Schedule!AL16=1,Schedule!$AQ$4,IF(Schedule!AL16=2,Schedule!$AQ$5,IF(Schedule!AL16=3,Schedule!$AQ$6,IF(Schedule!AL16=4,Schedule!$AQ$7,IF(Schedule!AL16=5,Schedule!$AQ$8,IF(Schedule!AL16=6,Schedule!$AQ$9,IF(Schedule!AL16=7,Schedule!$AQ$10,IF(Schedule!AL16=8,Schedule!#REF!,IF(Schedule!AL16=9,Schedule!$AQ$12,IF(Schedule!AL16=10,Schedule!$AQ$13,IF(Schedule!AL16=11,Schedule!#REF!,IF(Schedule!AL16=12,Schedule!#REF!,IF(Schedule!AL16=13,Schedule!$AQ$14,IF(Schedule!AL16=14,Schedule!#REF!,IF(Schedule!AL16=15,Schedule!$AQ$15,IF(Schedule!AL16=16,Schedule!#REF!,IF(Schedule!AL16=17,Schedule!#REF!,IF(Schedule!AL16=18,Schedule!$AQ$16,IF(Schedule!AL16=19,Schedule!$AQ$17,IF(Schedule!AL16=20,Schedule!$AQ$18,IF(Schedule!AL16=21,Schedule!#REF!))))))))))))))))))))))</f>
        <v xml:space="preserve">VC(1)/ Booth </v>
      </c>
    </row>
    <row r="18" spans="1:37" ht="22" customHeight="1" x14ac:dyDescent="0.2">
      <c r="A18" s="67" t="str">
        <f>Schedule!D17</f>
        <v>Doe</v>
      </c>
      <c r="B18" s="67" t="str">
        <f>Schedule!C17</f>
        <v>Jane</v>
      </c>
      <c r="C18" s="54"/>
      <c r="D18" s="54"/>
      <c r="E18" s="54"/>
      <c r="F18" s="64"/>
      <c r="G18" s="72" t="e">
        <f>IF(Schedule!E18=0,Schedule!$AQ$3,IF(Schedule!E18=1,Schedule!$AQ$4,IF(Schedule!E18=2,Schedule!$AQ$5,IF(Schedule!E18=3,Schedule!$AQ$6,IF(Schedule!E18=4,Schedule!$AQ$7,IF(Schedule!E18=5,Schedule!$AQ$8,IF(Schedule!E18=6,Schedule!$AQ$9,IF(Schedule!E18=7,Schedule!$AQ$10,IF(Schedule!E18=8,Schedule!#REF!,IF(Schedule!E18=9,Schedule!$AQ$12,IF(Schedule!E18=10,Schedule!$AQ$13,IF(Schedule!E18=11,Schedule!#REF!,IF(Schedule!E18=12,Schedule!#REF!,IF(Schedule!E18=13,Schedule!$AQ$14,IF(Schedule!E18=14,Schedule!#REF!,IF(Schedule!E18=15,Schedule!$AQ$15,IF(Schedule!E18=16,Schedule!#REF!,IF(Schedule!E18=17,Schedule!#REF!,IF(Schedule!E18=18,Schedule!$AQ$16,IF(Schedule!E18=19,Schedule!$AQ$17,IF(Schedule!E18=20,Schedule!$AQ$18,IF(Schedule!E18=21,Schedule!#REF!))))))))))))))))))))))</f>
        <v>#REF!</v>
      </c>
      <c r="H18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8" s="72" t="str">
        <f>IF(Schedule!F18=0,Schedule!$AQ$3,IF(Schedule!F18=1,Schedule!$AQ$4,IF(Schedule!F18=2,Schedule!$AQ$5,IF(Schedule!F18=3,Schedule!$AQ$6,IF(Schedule!F18=4,Schedule!$AQ$7,IF(Schedule!F18=5,Schedule!$AQ$8,IF(Schedule!F18=6,Schedule!$AQ$9,IF(Schedule!F18=7,Schedule!$AQ$10,IF(Schedule!F18=8,Schedule!#REF!,IF(Schedule!F18=9,Schedule!$AQ$12,IF(Schedule!F18=10,Schedule!$AQ$13,IF(Schedule!F18=11,Schedule!#REF!,IF(Schedule!F18=12,Schedule!#REF!,IF(Schedule!F18=13,Schedule!$AQ$14,IF(Schedule!F18=14,Schedule!#REF!,IF(Schedule!F18=15,Schedule!$AQ$15,IF(Schedule!F18=16,Schedule!#REF!,IF(Schedule!F18=17,Schedule!#REF!,IF(Schedule!F18=18,Schedule!$AQ$16,IF(Schedule!F18=19,Schedule!$AQ$17,IF(Schedule!F18=20,Schedule!$AQ$18,IF(Schedule!F18=21,Schedule!#REF!))))))))))))))))))))))</f>
        <v>Stop 7(2)/ 5&amp;9</v>
      </c>
      <c r="J18" s="72" t="e">
        <f>IF(Schedule!J10=0,Schedule!$AQ$3,IF(Schedule!J10=1,Schedule!$AQ$4,IF(Schedule!J10=2,Schedule!$AQ$5,IF(Schedule!J10=3,Schedule!$AQ$6,IF(Schedule!J10=4,Schedule!$AQ$7,IF(Schedule!J10=5,Schedule!$AQ$8,IF(Schedule!J10=6,Schedule!$AQ$9,IF(Schedule!J10=7,Schedule!$AQ$10,IF(Schedule!J10=8,Schedule!#REF!,IF(Schedule!J10=9,Schedule!$AQ$12,IF(Schedule!J10=10,Schedule!$AQ$13,IF(Schedule!J10=11,Schedule!#REF!,IF(Schedule!J10=12,Schedule!#REF!,IF(Schedule!J10=13,Schedule!$AQ$14,IF(Schedule!J10=14,Schedule!#REF!,IF(Schedule!J10=15,Schedule!$AQ$15,IF(Schedule!J10=16,Schedule!#REF!,IF(Schedule!J10=17,Schedule!#REF!,IF(Schedule!J10=18,Schedule!$AQ$16,IF(Schedule!J10=19,Schedule!$AQ$17,IF(Schedule!J10=20,Schedule!$AQ$18,IF(Schedule!J10=21,Schedule!#REF!))))))))))))))))))))))</f>
        <v>#REF!</v>
      </c>
      <c r="K18" s="72" t="str">
        <f>IF(Schedule!K18=0,Schedule!$AQ$3,IF(Schedule!K18=1,Schedule!$AQ$4,IF(Schedule!K18=2,Schedule!$AQ$5,IF(Schedule!K18=3,Schedule!$AQ$6,IF(Schedule!K18=4,Schedule!$AQ$7,IF(Schedule!K18=5,Schedule!$AQ$8,IF(Schedule!K18=6,Schedule!$AQ$9,IF(Schedule!K18=7,Schedule!$AQ$10,IF(Schedule!K18=8,Schedule!#REF!,IF(Schedule!K18=9,Schedule!$AQ$12,IF(Schedule!K18=10,Schedule!$AQ$13,IF(Schedule!K18=11,Schedule!#REF!,IF(Schedule!K18=12,Schedule!#REF!,IF(Schedule!K18=13,Schedule!$AQ$14,IF(Schedule!K18=14,Schedule!#REF!,IF(Schedule!K18=15,Schedule!$AQ$15,IF(Schedule!K18=16,Schedule!#REF!,IF(Schedule!K18=17,Schedule!#REF!,IF(Schedule!K18=18,Schedule!$AQ$16,IF(Schedule!K18=19,Schedule!$AQ$17,IF(Schedule!K18=20,Schedule!$AQ$18,IF(Schedule!K18=21,Schedule!#REF!))))))))))))))))))))))</f>
        <v>Stop 14(2)</v>
      </c>
      <c r="L18" s="72" t="str">
        <f>IF(Schedule!M18=0,Schedule!$AQ$3,IF(Schedule!M18=1,Schedule!$AQ$4,IF(Schedule!M18=2,Schedule!$AQ$5,IF(Schedule!M18=3,Schedule!$AQ$6,IF(Schedule!M18=4,Schedule!$AQ$7,IF(Schedule!M18=5,Schedule!$AQ$8,IF(Schedule!M18=6,Schedule!$AQ$9,IF(Schedule!M18=7,Schedule!$AQ$10,IF(Schedule!M18=8,Schedule!#REF!,IF(Schedule!M18=9,Schedule!$AQ$12,IF(Schedule!M18=10,Schedule!$AQ$13,IF(Schedule!M18=11,Schedule!#REF!,IF(Schedule!M18=12,Schedule!#REF!,IF(Schedule!M18=13,Schedule!$AQ$14,IF(Schedule!M18=14,Schedule!#REF!,IF(Schedule!M18=15,Schedule!$AQ$15,IF(Schedule!M18=16,Schedule!#REF!,IF(Schedule!M18=17,Schedule!#REF!,IF(Schedule!M18=18,Schedule!$AQ$16,IF(Schedule!M18=19,Schedule!$AQ$17,IF(Schedule!M18=20,Schedule!$AQ$18,IF(Schedule!M18=21,Schedule!#REF!))))))))))))))))))))))</f>
        <v>OFF</v>
      </c>
      <c r="M18" s="72" t="str">
        <f>IF(Schedule!N18=0,Schedule!$AQ$3,IF(Schedule!N18=1,Schedule!$AQ$4,IF(Schedule!N18=2,Schedule!$AQ$5,IF(Schedule!N18=3,Schedule!$AQ$6,IF(Schedule!N18=4,Schedule!$AQ$7,IF(Schedule!N18=5,Schedule!$AQ$8,IF(Schedule!N18=6,Schedule!$AQ$9,IF(Schedule!N18=7,Schedule!$AQ$10,IF(Schedule!N18=8,Schedule!#REF!,IF(Schedule!N18=9,Schedule!$AQ$12,IF(Schedule!N18=10,Schedule!$AQ$13,IF(Schedule!N18=11,Schedule!#REF!,IF(Schedule!N18=12,Schedule!#REF!,IF(Schedule!N18=13,Schedule!$AQ$14,IF(Schedule!N18=14,Schedule!#REF!,IF(Schedule!N18=15,Schedule!$AQ$15,IF(Schedule!N18=16,Schedule!#REF!,IF(Schedule!N18=17,Schedule!#REF!,IF(Schedule!N18=18,Schedule!$AQ$16,IF(Schedule!N18=19,Schedule!$AQ$17,IF(Schedule!N18=20,Schedule!$AQ$18,IF(Schedule!N18=21,Schedule!#REF!))))))))))))))))))))))</f>
        <v>OFF</v>
      </c>
      <c r="N18" s="72" t="str">
        <f>IF(Schedule!O18=0,Schedule!$AQ$3,IF(Schedule!O18=1,Schedule!$AQ$4,IF(Schedule!O18=2,Schedule!$AQ$5,IF(Schedule!O18=3,Schedule!$AQ$6,IF(Schedule!O18=4,Schedule!$AQ$7,IF(Schedule!O18=5,Schedule!$AQ$8,IF(Schedule!O18=6,Schedule!$AQ$9,IF(Schedule!O18=7,Schedule!$AQ$10,IF(Schedule!O18=8,Schedule!#REF!,IF(Schedule!O18=9,Schedule!$AQ$12,IF(Schedule!O18=10,Schedule!$AQ$13,IF(Schedule!O18=11,Schedule!#REF!,IF(Schedule!O18=12,Schedule!#REF!,IF(Schedule!O18=13,Schedule!$AQ$14,IF(Schedule!O18=14,Schedule!#REF!,IF(Schedule!O18=15,Schedule!$AQ$15,IF(Schedule!O18=16,Schedule!#REF!,IF(Schedule!O18=17,Schedule!#REF!,IF(Schedule!O18=18,Schedule!$AQ$16,IF(Schedule!O18=19,Schedule!$AQ$17,IF(Schedule!O18=20,Schedule!$AQ$18,IF(Schedule!O18=21,Schedule!#REF!))))))))))))))))))))))</f>
        <v>Stop 7(2)</v>
      </c>
      <c r="O18" s="72" t="str">
        <f>IF(Schedule!P18=0,Schedule!$AQ$3,IF(Schedule!P18=1,Schedule!$AQ$4,IF(Schedule!P18=2,Schedule!$AQ$5,IF(Schedule!P18=3,Schedule!$AQ$6,IF(Schedule!P18=4,Schedule!$AQ$7,IF(Schedule!P18=5,Schedule!$AQ$8,IF(Schedule!P18=6,Schedule!$AQ$9,IF(Schedule!P18=7,Schedule!$AQ$10,IF(Schedule!P18=8,Schedule!#REF!,IF(Schedule!P18=9,Schedule!$AQ$12,IF(Schedule!P18=10,Schedule!$AQ$13,IF(Schedule!P18=11,Schedule!#REF!,IF(Schedule!P18=12,Schedule!#REF!,IF(Schedule!P18=13,Schedule!$AQ$14,IF(Schedule!P18=14,Schedule!#REF!,IF(Schedule!P18=15,Schedule!$AQ$15,IF(Schedule!P18=16,Schedule!#REF!,IF(Schedule!P18=17,Schedule!#REF!,IF(Schedule!P18=18,Schedule!$AQ$16,IF(Schedule!P18=19,Schedule!$AQ$17,IF(Schedule!P18=20,Schedule!$AQ$18,IF(Schedule!P18=21,Schedule!#REF!))))))))))))))))))))))</f>
        <v xml:space="preserve">Booth(2)/ VC </v>
      </c>
      <c r="P18" s="72" t="str">
        <f>IF(Schedule!Q18=0,Schedule!$AQ$3,IF(Schedule!Q18=1,Schedule!$AQ$4,IF(Schedule!Q18=2,Schedule!$AQ$5,IF(Schedule!Q18=3,Schedule!$AQ$6,IF(Schedule!Q18=4,Schedule!$AQ$7,IF(Schedule!Q18=5,Schedule!$AQ$8,IF(Schedule!Q18=6,Schedule!$AQ$9,IF(Schedule!Q18=7,Schedule!$AQ$10,IF(Schedule!Q18=8,Schedule!#REF!,IF(Schedule!Q18=9,Schedule!$AQ$12,IF(Schedule!Q18=10,Schedule!$AQ$13,IF(Schedule!Q18=11,Schedule!#REF!,IF(Schedule!Q18=12,Schedule!#REF!,IF(Schedule!Q18=13,Schedule!$AQ$14,IF(Schedule!Q18=14,Schedule!#REF!,IF(Schedule!Q18=15,Schedule!$AQ$15,IF(Schedule!Q18=16,Schedule!#REF!,IF(Schedule!Q18=17,Schedule!#REF!,IF(Schedule!Q18=18,Schedule!$AQ$16,IF(Schedule!Q18=19,Schedule!$AQ$17,IF(Schedule!Q18=20,Schedule!$AQ$18,IF(Schedule!Q18=21,Schedule!#REF!))))))))))))))))))))))</f>
        <v>OFF</v>
      </c>
      <c r="Q18" s="72" t="str">
        <f>IF(Schedule!R18=0,Schedule!$AQ$3,IF(Schedule!R18=1,Schedule!$AQ$4,IF(Schedule!R18=2,Schedule!$AQ$5,IF(Schedule!R18=3,Schedule!$AQ$6,IF(Schedule!R18=4,Schedule!$AQ$7,IF(Schedule!R18=5,Schedule!$AQ$8,IF(Schedule!R18=6,Schedule!$AQ$9,IF(Schedule!R18=7,Schedule!$AQ$10,IF(Schedule!R18=8,Schedule!#REF!,IF(Schedule!R18=9,Schedule!$AQ$12,IF(Schedule!R18=10,Schedule!$AQ$13,IF(Schedule!R18=11,Schedule!#REF!,IF(Schedule!R18=12,Schedule!#REF!,IF(Schedule!R18=13,Schedule!$AQ$14,IF(Schedule!R18=14,Schedule!#REF!,IF(Schedule!R18=15,Schedule!$AQ$15,IF(Schedule!R18=16,Schedule!#REF!,IF(Schedule!R18=17,Schedule!#REF!,IF(Schedule!R18=18,Schedule!$AQ$16,IF(Schedule!R18=19,Schedule!$AQ$17,IF(Schedule!R18=20,Schedule!$AQ$18,IF(Schedule!R18=21,Schedule!#REF!))))))))))))))))))))))</f>
        <v>OFF</v>
      </c>
      <c r="R18" s="72" t="str">
        <f>IF(Schedule!S18=0,Schedule!$AQ$3,IF(Schedule!S18=1,Schedule!$AQ$4,IF(Schedule!S18=2,Schedule!$AQ$5,IF(Schedule!S18=3,Schedule!$AQ$6,IF(Schedule!S18=4,Schedule!$AQ$7,IF(Schedule!S18=5,Schedule!$AQ$8,IF(Schedule!S18=6,Schedule!$AQ$9,IF(Schedule!S18=7,Schedule!$AQ$10,IF(Schedule!S18=8,Schedule!#REF!,IF(Schedule!S18=9,Schedule!$AQ$12,IF(Schedule!S18=10,Schedule!$AQ$13,IF(Schedule!S18=11,Schedule!#REF!,IF(Schedule!S18=12,Schedule!#REF!,IF(Schedule!S18=13,Schedule!$AQ$14,IF(Schedule!S18=14,Schedule!#REF!,IF(Schedule!S18=15,Schedule!$AQ$15,IF(Schedule!S18=16,Schedule!#REF!,IF(Schedule!S18=17,Schedule!#REF!,IF(Schedule!S18=18,Schedule!$AQ$16,IF(Schedule!S18=19,Schedule!$AQ$17,IF(Schedule!S18=20,Schedule!$AQ$18,IF(Schedule!S18=21,Schedule!#REF!))))))))))))))))))))))</f>
        <v xml:space="preserve">VC(2)/ Booth  </v>
      </c>
      <c r="S18" s="72" t="str">
        <f>IF(Schedule!T18=0,Schedule!$AQ$3,IF(Schedule!T18=1,Schedule!$AQ$4,IF(Schedule!T18=2,Schedule!$AQ$5,IF(Schedule!T18=3,Schedule!$AQ$6,IF(Schedule!T18=4,Schedule!$AQ$7,IF(Schedule!T18=5,Schedule!$AQ$8,IF(Schedule!T18=6,Schedule!$AQ$9,IF(Schedule!T18=7,Schedule!$AQ$10,IF(Schedule!T18=8,Schedule!#REF!,IF(Schedule!T18=9,Schedule!$AQ$12,IF(Schedule!T18=10,Schedule!$AQ$13,IF(Schedule!T18=11,Schedule!#REF!,IF(Schedule!T18=12,Schedule!#REF!,IF(Schedule!T18=13,Schedule!$AQ$14,IF(Schedule!T18=14,Schedule!#REF!,IF(Schedule!T18=15,Schedule!$AQ$15,IF(Schedule!T18=16,Schedule!#REF!,IF(Schedule!T18=17,Schedule!#REF!,IF(Schedule!T18=18,Schedule!$AQ$16,IF(Schedule!T18=19,Schedule!$AQ$17,IF(Schedule!T18=20,Schedule!$AQ$18,IF(Schedule!T18=21,Schedule!#REF!))))))))))))))))))))))</f>
        <v>Stop 14(2)</v>
      </c>
      <c r="T18" s="72" t="str">
        <f>IF(Schedule!U18=0,Schedule!$AQ$3,IF(Schedule!U18=1,Schedule!$AQ$4,IF(Schedule!U18=2,Schedule!$AQ$5,IF(Schedule!U18=3,Schedule!$AQ$6,IF(Schedule!U18=4,Schedule!$AQ$7,IF(Schedule!U18=5,Schedule!$AQ$8,IF(Schedule!U18=6,Schedule!$AQ$9,IF(Schedule!U18=7,Schedule!$AQ$10,IF(Schedule!U18=8,Schedule!#REF!,IF(Schedule!U18=9,Schedule!$AQ$12,IF(Schedule!U18=10,Schedule!$AQ$13,IF(Schedule!U18=11,Schedule!#REF!,IF(Schedule!U18=12,Schedule!#REF!,IF(Schedule!U18=13,Schedule!$AQ$14,IF(Schedule!U18=14,Schedule!#REF!,IF(Schedule!U18=15,Schedule!$AQ$15,IF(Schedule!U18=16,Schedule!#REF!,IF(Schedule!U18=17,Schedule!#REF!,IF(Schedule!U18=18,Schedule!$AQ$16,IF(Schedule!U18=19,Schedule!$AQ$17,IF(Schedule!U18=20,Schedule!$AQ$18,IF(Schedule!U18=21,Schedule!#REF!))))))))))))))))))))))</f>
        <v>OFF</v>
      </c>
      <c r="U18" s="72" t="str">
        <f>IF(Schedule!V18=0,Schedule!$AQ$3,IF(Schedule!V18=1,Schedule!$AQ$4,IF(Schedule!V18=2,Schedule!$AQ$5,IF(Schedule!V18=3,Schedule!$AQ$6,IF(Schedule!V18=4,Schedule!$AQ$7,IF(Schedule!V18=5,Schedule!$AQ$8,IF(Schedule!V18=6,Schedule!$AQ$9,IF(Schedule!V18=7,Schedule!$AQ$10,IF(Schedule!V18=8,Schedule!#REF!,IF(Schedule!V18=9,Schedule!$AQ$12,IF(Schedule!V18=10,Schedule!$AQ$13,IF(Schedule!V18=11,Schedule!#REF!,IF(Schedule!V18=12,Schedule!#REF!,IF(Schedule!V18=13,Schedule!$AQ$14,IF(Schedule!V18=14,Schedule!#REF!,IF(Schedule!V18=15,Schedule!$AQ$15,IF(Schedule!V18=16,Schedule!#REF!,IF(Schedule!V18=17,Schedule!#REF!,IF(Schedule!V18=18,Schedule!$AQ$16,IF(Schedule!V18=19,Schedule!$AQ$17,IF(Schedule!V18=20,Schedule!$AQ$18,IF(Schedule!V18=21,Schedule!#REF!))))))))))))))))))))))</f>
        <v>OFF</v>
      </c>
      <c r="V18" s="72" t="str">
        <f>IF(Schedule!W18=0,Schedule!$AQ$3,IF(Schedule!W18=1,Schedule!$AQ$4,IF(Schedule!W18=2,Schedule!$AQ$5,IF(Schedule!W18=3,Schedule!$AQ$6,IF(Schedule!W18=4,Schedule!$AQ$7,IF(Schedule!W18=5,Schedule!$AQ$8,IF(Schedule!W18=6,Schedule!$AQ$9,IF(Schedule!W18=7,Schedule!$AQ$10,IF(Schedule!W18=8,Schedule!#REF!,IF(Schedule!W18=9,Schedule!$AQ$12,IF(Schedule!W18=10,Schedule!$AQ$13,IF(Schedule!W18=11,Schedule!#REF!,IF(Schedule!W18=12,Schedule!#REF!,IF(Schedule!W18=13,Schedule!$AQ$14,IF(Schedule!W18=14,Schedule!#REF!,IF(Schedule!W18=15,Schedule!$AQ$15,IF(Schedule!W18=16,Schedule!#REF!,IF(Schedule!W18=17,Schedule!#REF!,IF(Schedule!W18=18,Schedule!$AQ$16,IF(Schedule!W18=19,Schedule!$AQ$17,IF(Schedule!W18=20,Schedule!$AQ$18,IF(Schedule!W18=21,Schedule!#REF!))))))))))))))))))))))</f>
        <v xml:space="preserve">Booth(1)/ VC </v>
      </c>
      <c r="W18" s="72" t="str">
        <f>IF(Schedule!X18=0,Schedule!$AQ$3,IF(Schedule!X18=1,Schedule!$AQ$4,IF(Schedule!X18=2,Schedule!$AQ$5,IF(Schedule!X18=3,Schedule!$AQ$6,IF(Schedule!X18=4,Schedule!$AQ$7,IF(Schedule!X18=5,Schedule!$AQ$8,IF(Schedule!X18=6,Schedule!$AQ$9,IF(Schedule!X18=7,Schedule!$AQ$10,IF(Schedule!X18=8,Schedule!#REF!,IF(Schedule!X18=9,Schedule!$AQ$12,IF(Schedule!X18=10,Schedule!$AQ$13,IF(Schedule!X18=11,Schedule!#REF!,IF(Schedule!X18=12,Schedule!#REF!,IF(Schedule!X18=13,Schedule!$AQ$14,IF(Schedule!X18=14,Schedule!#REF!,IF(Schedule!X18=15,Schedule!$AQ$15,IF(Schedule!X18=16,Schedule!#REF!,IF(Schedule!X18=17,Schedule!#REF!,IF(Schedule!X18=18,Schedule!$AQ$16,IF(Schedule!X18=19,Schedule!$AQ$17,IF(Schedule!X18=20,Schedule!$AQ$18,IF(Schedule!X18=21,Schedule!#REF!))))))))))))))))))))))</f>
        <v>Stop 14(2)</v>
      </c>
      <c r="X18" s="72" t="str">
        <f>IF(Schedule!Y18=0,Schedule!$AQ$3,IF(Schedule!Y18=1,Schedule!$AQ$4,IF(Schedule!Y18=2,Schedule!$AQ$5,IF(Schedule!Y18=3,Schedule!$AQ$6,IF(Schedule!Y18=4,Schedule!$AQ$7,IF(Schedule!Y18=5,Schedule!$AQ$8,IF(Schedule!Y18=6,Schedule!$AQ$9,IF(Schedule!Y18=7,Schedule!$AQ$10,IF(Schedule!Y18=8,Schedule!#REF!,IF(Schedule!Y18=9,Schedule!$AQ$12,IF(Schedule!Y18=10,Schedule!$AQ$13,IF(Schedule!Y18=11,Schedule!#REF!,IF(Schedule!Y18=12,Schedule!#REF!,IF(Schedule!Y18=13,Schedule!$AQ$14,IF(Schedule!Y18=14,Schedule!#REF!,IF(Schedule!Y18=15,Schedule!$AQ$15,IF(Schedule!Y18=16,Schedule!#REF!,IF(Schedule!Y18=17,Schedule!#REF!,IF(Schedule!Y18=18,Schedule!$AQ$16,IF(Schedule!Y18=19,Schedule!$AQ$17,IF(Schedule!Y18=20,Schedule!$AQ$18,IF(Schedule!Y18=21,Schedule!#REF!))))))))))))))))))))))</f>
        <v>OFF</v>
      </c>
      <c r="Y18" s="72" t="str">
        <f>IF(Schedule!Z18=0,Schedule!$AQ$3,IF(Schedule!Z18=1,Schedule!$AQ$4,IF(Schedule!Z18=2,Schedule!$AQ$5,IF(Schedule!Z18=3,Schedule!$AQ$6,IF(Schedule!Z18=4,Schedule!$AQ$7,IF(Schedule!Z18=5,Schedule!$AQ$8,IF(Schedule!Z18=6,Schedule!$AQ$9,IF(Schedule!Z18=7,Schedule!$AQ$10,IF(Schedule!Z18=8,Schedule!#REF!,IF(Schedule!Z18=9,Schedule!$AQ$12,IF(Schedule!Z18=10,Schedule!$AQ$13,IF(Schedule!Z18=11,Schedule!#REF!,IF(Schedule!Z18=12,Schedule!#REF!,IF(Schedule!Z18=13,Schedule!$AQ$14,IF(Schedule!Z18=14,Schedule!#REF!,IF(Schedule!Z18=15,Schedule!$AQ$15,IF(Schedule!Z18=16,Schedule!#REF!,IF(Schedule!Z18=17,Schedule!#REF!,IF(Schedule!Z18=18,Schedule!$AQ$16,IF(Schedule!Z18=19,Schedule!$AQ$17,IF(Schedule!Z18=20,Schedule!$AQ$18,IF(Schedule!Z18=21,Schedule!#REF!))))))))))))))))))))))</f>
        <v>Art(1)/ Stop 7</v>
      </c>
      <c r="Z18" s="72" t="str">
        <f>IF(Schedule!AA18=0,Schedule!$AQ$3,IF(Schedule!AA18=1,Schedule!$AQ$4,IF(Schedule!AA18=2,Schedule!$AQ$5,IF(Schedule!AA18=3,Schedule!$AQ$6,IF(Schedule!AA18=4,Schedule!$AQ$7,IF(Schedule!AA18=5,Schedule!$AQ$8,IF(Schedule!AA18=6,Schedule!$AQ$9,IF(Schedule!AA18=7,Schedule!$AQ$10,IF(Schedule!AA18=8,Schedule!#REF!,IF(Schedule!AA18=9,Schedule!$AQ$12,IF(Schedule!AA18=10,Schedule!$AQ$13,IF(Schedule!AA18=11,Schedule!#REF!,IF(Schedule!AA18=12,Schedule!#REF!,IF(Schedule!AA18=13,Schedule!$AQ$14,IF(Schedule!AA18=14,Schedule!#REF!,IF(Schedule!AA18=15,Schedule!$AQ$15,IF(Schedule!AA18=16,Schedule!#REF!,IF(Schedule!AA18=17,Schedule!#REF!,IF(Schedule!AA18=18,Schedule!$AQ$16,IF(Schedule!AA18=19,Schedule!$AQ$17,IF(Schedule!AA18=20,Schedule!$AQ$18,IF(Schedule!AA18=21,Schedule!#REF!))))))))))))))))))))))</f>
        <v>Stop 7(2)/ 5&amp;9</v>
      </c>
      <c r="AA18" s="72" t="str">
        <f>IF(Schedule!AB18=0,Schedule!$AQ$3,IF(Schedule!AB18=1,Schedule!$AQ$4,IF(Schedule!AB18=2,Schedule!$AQ$5,IF(Schedule!AB18=3,Schedule!$AQ$6,IF(Schedule!AB18=4,Schedule!$AQ$7,IF(Schedule!AB18=5,Schedule!$AQ$8,IF(Schedule!AB18=6,Schedule!$AQ$9,IF(Schedule!AB18=7,Schedule!$AQ$10,IF(Schedule!AB18=8,Schedule!#REF!,IF(Schedule!AB18=9,Schedule!$AQ$12,IF(Schedule!AB18=10,Schedule!$AQ$13,IF(Schedule!AB18=11,Schedule!#REF!,IF(Schedule!AB18=12,Schedule!#REF!,IF(Schedule!AB18=13,Schedule!$AQ$14,IF(Schedule!AB18=14,Schedule!#REF!,IF(Schedule!AB18=15,Schedule!$AQ$15,IF(Schedule!AB18=16,Schedule!#REF!,IF(Schedule!AB18=17,Schedule!#REF!,IF(Schedule!AB18=18,Schedule!$AQ$16,IF(Schedule!AB18=19,Schedule!$AQ$17,IF(Schedule!AB18=20,Schedule!$AQ$18,IF(Schedule!AB18=21,Schedule!#REF!))))))))))))))))))))))</f>
        <v>OFF</v>
      </c>
      <c r="AB18" s="72" t="str">
        <f>IF(Schedule!AC18=0,Schedule!$AQ$3,IF(Schedule!AC18=1,Schedule!$AQ$4,IF(Schedule!AC18=2,Schedule!$AQ$5,IF(Schedule!AC18=3,Schedule!$AQ$6,IF(Schedule!AC18=4,Schedule!$AQ$7,IF(Schedule!AC18=5,Schedule!$AQ$8,IF(Schedule!AC18=6,Schedule!$AQ$9,IF(Schedule!AC18=7,Schedule!$AQ$10,IF(Schedule!AC18=8,Schedule!#REF!,IF(Schedule!AC18=9,Schedule!$AQ$12,IF(Schedule!AC18=10,Schedule!$AQ$13,IF(Schedule!AC18=11,Schedule!#REF!,IF(Schedule!AC18=12,Schedule!#REF!,IF(Schedule!AC18=13,Schedule!$AQ$14,IF(Schedule!AC18=14,Schedule!#REF!,IF(Schedule!AC18=15,Schedule!$AQ$15,IF(Schedule!AC18=16,Schedule!#REF!,IF(Schedule!AC18=17,Schedule!#REF!,IF(Schedule!AC18=18,Schedule!$AQ$16,IF(Schedule!AC18=19,Schedule!$AQ$17,IF(Schedule!AC18=20,Schedule!$AQ$18,IF(Schedule!AC18=21,Schedule!#REF!))))))))))))))))))))))</f>
        <v>OFF</v>
      </c>
      <c r="AC18" s="72" t="str">
        <f>IF(Schedule!AD18=0,Schedule!$AQ$3,IF(Schedule!AD18=1,Schedule!$AQ$4,IF(Schedule!AD18=2,Schedule!$AQ$5,IF(Schedule!AD18=3,Schedule!$AQ$6,IF(Schedule!AD18=4,Schedule!$AQ$7,IF(Schedule!AD18=5,Schedule!$AQ$8,IF(Schedule!AD18=6,Schedule!$AQ$9,IF(Schedule!AD18=7,Schedule!$AQ$10,IF(Schedule!AD18=8,Schedule!#REF!,IF(Schedule!AD18=9,Schedule!$AQ$12,IF(Schedule!AD18=10,Schedule!$AQ$13,IF(Schedule!AD18=11,Schedule!#REF!,IF(Schedule!AD18=12,Schedule!#REF!,IF(Schedule!AD18=13,Schedule!$AQ$14,IF(Schedule!AD18=14,Schedule!#REF!,IF(Schedule!AD18=15,Schedule!$AQ$15,IF(Schedule!AD18=16,Schedule!#REF!,IF(Schedule!AD18=17,Schedule!#REF!,IF(Schedule!AD18=18,Schedule!$AQ$16,IF(Schedule!AD18=19,Schedule!$AQ$17,IF(Schedule!AD18=20,Schedule!$AQ$18,IF(Schedule!AD18=21,Schedule!#REF!))))))))))))))))))))))</f>
        <v xml:space="preserve">VC(2)/ Booth  </v>
      </c>
      <c r="AD18" s="72" t="str">
        <f>IF(Schedule!AE18=0,Schedule!$AQ$3,IF(Schedule!AE18=1,Schedule!$AQ$4,IF(Schedule!AE18=2,Schedule!$AQ$5,IF(Schedule!AE18=3,Schedule!$AQ$6,IF(Schedule!AE18=4,Schedule!$AQ$7,IF(Schedule!AE18=5,Schedule!$AQ$8,IF(Schedule!AE18=6,Schedule!$AQ$9,IF(Schedule!AE18=7,Schedule!$AQ$10,IF(Schedule!AE18=8,Schedule!#REF!,IF(Schedule!AE18=9,Schedule!$AQ$12,IF(Schedule!AE18=10,Schedule!$AQ$13,IF(Schedule!AE18=11,Schedule!#REF!,IF(Schedule!AE18=12,Schedule!#REF!,IF(Schedule!AE18=13,Schedule!$AQ$14,IF(Schedule!AE18=14,Schedule!#REF!,IF(Schedule!AE18=15,Schedule!$AQ$15,IF(Schedule!AE18=16,Schedule!#REF!,IF(Schedule!AE18=17,Schedule!#REF!,IF(Schedule!AE18=18,Schedule!$AQ$16,IF(Schedule!AE18=19,Schedule!$AQ$17,IF(Schedule!AE18=20,Schedule!$AQ$18,IF(Schedule!AE18=21,Schedule!#REF!))))))))))))))))))))))</f>
        <v>Stop 14(2)</v>
      </c>
      <c r="AE18" s="72" t="str">
        <f>IF(Schedule!AF18=0,Schedule!$AQ$3,IF(Schedule!AF18=1,Schedule!$AQ$4,IF(Schedule!AF18=2,Schedule!$AQ$5,IF(Schedule!AF18=3,Schedule!$AQ$6,IF(Schedule!AF18=4,Schedule!$AQ$7,IF(Schedule!AF18=5,Schedule!$AQ$8,IF(Schedule!AF18=6,Schedule!$AQ$9,IF(Schedule!AF18=7,Schedule!$AQ$10,IF(Schedule!AF18=8,Schedule!#REF!,IF(Schedule!AF18=9,Schedule!$AQ$12,IF(Schedule!AF18=10,Schedule!$AQ$13,IF(Schedule!AF18=11,Schedule!#REF!,IF(Schedule!AF18=12,Schedule!#REF!,IF(Schedule!AF18=13,Schedule!$AQ$14,IF(Schedule!AF18=14,Schedule!#REF!,IF(Schedule!AF18=15,Schedule!$AQ$15,IF(Schedule!AF18=16,Schedule!#REF!,IF(Schedule!AF18=17,Schedule!#REF!,IF(Schedule!AF18=18,Schedule!$AQ$16,IF(Schedule!AF18=19,Schedule!$AQ$17,IF(Schedule!AF18=20,Schedule!$AQ$18,IF(Schedule!AF18=21,Schedule!#REF!))))))))))))))))))))))</f>
        <v xml:space="preserve">VC(1)/ Booth </v>
      </c>
      <c r="AF18" s="72" t="str">
        <f>IF(Schedule!AG18=0,Schedule!$AQ$3,IF(Schedule!AG18=1,Schedule!$AQ$4,IF(Schedule!AG18=2,Schedule!$AQ$5,IF(Schedule!AG18=3,Schedule!$AQ$6,IF(Schedule!AG18=4,Schedule!$AQ$7,IF(Schedule!AG18=5,Schedule!$AQ$8,IF(Schedule!AG18=6,Schedule!$AQ$9,IF(Schedule!AG18=7,Schedule!$AQ$10,IF(Schedule!AG18=8,Schedule!#REF!,IF(Schedule!AG18=9,Schedule!$AQ$12,IF(Schedule!AG18=10,Schedule!$AQ$13,IF(Schedule!AG18=11,Schedule!#REF!,IF(Schedule!AG18=12,Schedule!#REF!,IF(Schedule!AG18=13,Schedule!$AQ$14,IF(Schedule!AG18=14,Schedule!#REF!,IF(Schedule!AG18=15,Schedule!$AQ$15,IF(Schedule!AG18=16,Schedule!#REF!,IF(Schedule!AG18=17,Schedule!#REF!,IF(Schedule!AG18=18,Schedule!$AQ$16,IF(Schedule!AG18=19,Schedule!$AQ$17,IF(Schedule!AG18=20,Schedule!$AQ$18,IF(Schedule!AG18=21,Schedule!#REF!))))))))))))))))))))))</f>
        <v>OFF</v>
      </c>
      <c r="AG18" s="72" t="str">
        <f>IF(Schedule!AH18=0,Schedule!$AQ$3,IF(Schedule!AH18=1,Schedule!$AQ$4,IF(Schedule!AH18=2,Schedule!$AQ$5,IF(Schedule!AH18=3,Schedule!$AQ$6,IF(Schedule!AH18=4,Schedule!$AQ$7,IF(Schedule!AH18=5,Schedule!$AQ$8,IF(Schedule!AH18=6,Schedule!$AQ$9,IF(Schedule!AH18=7,Schedule!$AQ$10,IF(Schedule!AH18=8,Schedule!#REF!,IF(Schedule!AH18=9,Schedule!$AQ$12,IF(Schedule!AH18=10,Schedule!$AQ$13,IF(Schedule!AH18=11,Schedule!#REF!,IF(Schedule!AH18=12,Schedule!#REF!,IF(Schedule!AH18=13,Schedule!$AQ$14,IF(Schedule!AH18=14,Schedule!#REF!,IF(Schedule!AH18=15,Schedule!$AQ$15,IF(Schedule!AH18=16,Schedule!#REF!,IF(Schedule!AH18=17,Schedule!#REF!,IF(Schedule!AH18=18,Schedule!$AQ$16,IF(Schedule!AH18=19,Schedule!$AQ$17,IF(Schedule!AH18=20,Schedule!$AQ$18,IF(Schedule!AH18=21,Schedule!#REF!))))))))))))))))))))))</f>
        <v>Stop 7(2)</v>
      </c>
      <c r="AH18" s="72" t="str">
        <f>IF(Schedule!AI18=0,Schedule!$AQ$3,IF(Schedule!AI18=1,Schedule!$AQ$4,IF(Schedule!AI18=2,Schedule!$AQ$5,IF(Schedule!AI18=3,Schedule!$AQ$6,IF(Schedule!AI18=4,Schedule!$AQ$7,IF(Schedule!AI18=5,Schedule!$AQ$8,IF(Schedule!AI18=6,Schedule!$AQ$9,IF(Schedule!AI18=7,Schedule!$AQ$10,IF(Schedule!AI18=8,Schedule!#REF!,IF(Schedule!AI18=9,Schedule!$AQ$12,IF(Schedule!AI18=10,Schedule!$AQ$13,IF(Schedule!AI18=11,Schedule!#REF!,IF(Schedule!AI18=12,Schedule!#REF!,IF(Schedule!AI18=13,Schedule!$AQ$14,IF(Schedule!AI18=14,Schedule!#REF!,IF(Schedule!AI18=15,Schedule!$AQ$15,IF(Schedule!AI18=16,Schedule!#REF!,IF(Schedule!AI18=17,Schedule!#REF!,IF(Schedule!AI18=18,Schedule!$AQ$16,IF(Schedule!AI18=19,Schedule!$AQ$17,IF(Schedule!AI18=20,Schedule!$AQ$18,IF(Schedule!AI18=21,Schedule!#REF!))))))))))))))))))))))</f>
        <v>Stop 14(2)</v>
      </c>
      <c r="AI18" s="72" t="str">
        <f>IF(Schedule!AJ18=0,Schedule!$AQ$3,IF(Schedule!AJ18=1,Schedule!$AQ$4,IF(Schedule!AJ18=2,Schedule!$AQ$5,IF(Schedule!AJ18=3,Schedule!$AQ$6,IF(Schedule!AJ18=4,Schedule!$AQ$7,IF(Schedule!AJ18=5,Schedule!$AQ$8,IF(Schedule!AJ18=6,Schedule!$AQ$9,IF(Schedule!AJ18=7,Schedule!$AQ$10,IF(Schedule!AJ18=8,Schedule!#REF!,IF(Schedule!AJ18=9,Schedule!$AQ$12,IF(Schedule!AJ18=10,Schedule!$AQ$13,IF(Schedule!AJ18=11,Schedule!#REF!,IF(Schedule!AJ18=12,Schedule!#REF!,IF(Schedule!AJ18=13,Schedule!$AQ$14,IF(Schedule!AJ18=14,Schedule!#REF!,IF(Schedule!AJ18=15,Schedule!$AQ$15,IF(Schedule!AJ18=16,Schedule!#REF!,IF(Schedule!AJ18=17,Schedule!#REF!,IF(Schedule!AJ18=18,Schedule!$AQ$16,IF(Schedule!AJ18=19,Schedule!$AQ$17,IF(Schedule!AJ18=20,Schedule!$AQ$18,IF(Schedule!AJ18=21,Schedule!#REF!))))))))))))))))))))))</f>
        <v>OFF</v>
      </c>
      <c r="AJ18" s="72" t="str">
        <f>IF(Schedule!AK18=0,Schedule!$AQ$3,IF(Schedule!AK18=1,Schedule!$AQ$4,IF(Schedule!AK18=2,Schedule!$AQ$5,IF(Schedule!AK18=3,Schedule!$AQ$6,IF(Schedule!AK18=4,Schedule!$AQ$7,IF(Schedule!AK18=5,Schedule!$AQ$8,IF(Schedule!AK18=6,Schedule!$AQ$9,IF(Schedule!AK18=7,Schedule!$AQ$10,IF(Schedule!AK18=8,Schedule!#REF!,IF(Schedule!AK18=9,Schedule!$AQ$12,IF(Schedule!AK18=10,Schedule!$AQ$13,IF(Schedule!AK18=11,Schedule!#REF!,IF(Schedule!AK18=12,Schedule!#REF!,IF(Schedule!AK18=13,Schedule!$AQ$14,IF(Schedule!AK18=14,Schedule!#REF!,IF(Schedule!AK18=15,Schedule!$AQ$15,IF(Schedule!AK18=16,Schedule!#REF!,IF(Schedule!AK18=17,Schedule!#REF!,IF(Schedule!AK18=18,Schedule!$AQ$16,IF(Schedule!AK18=19,Schedule!$AQ$17,IF(Schedule!AK18=20,Schedule!$AQ$18,IF(Schedule!AK18=21,Schedule!#REF!))))))))))))))))))))))</f>
        <v>OFF</v>
      </c>
      <c r="AK18" s="72" t="e">
        <f>IF(Schedule!AL18=0,Schedule!$AQ$3,IF(Schedule!AL18=1,Schedule!$AQ$4,IF(Schedule!AL18=2,Schedule!$AQ$5,IF(Schedule!AL18=3,Schedule!$AQ$6,IF(Schedule!AL18=4,Schedule!$AQ$7,IF(Schedule!AL18=5,Schedule!$AQ$8,IF(Schedule!AL18=6,Schedule!$AQ$9,IF(Schedule!AL18=7,Schedule!$AQ$10,IF(Schedule!AL18=8,Schedule!#REF!,IF(Schedule!AL18=9,Schedule!$AQ$12,IF(Schedule!AL18=10,Schedule!$AQ$13,IF(Schedule!AL18=11,Schedule!#REF!,IF(Schedule!AL18=12,Schedule!#REF!,IF(Schedule!AL18=13,Schedule!$AQ$14,IF(Schedule!AL18=14,Schedule!#REF!,IF(Schedule!AL18=15,Schedule!$AQ$15,IF(Schedule!AL18=16,Schedule!#REF!,IF(Schedule!AL18=17,Schedule!#REF!,IF(Schedule!AL18=18,Schedule!$AQ$16,IF(Schedule!AL18=19,Schedule!$AQ$17,IF(Schedule!AL18=20,Schedule!$AQ$18,IF(Schedule!AL18=21,Schedule!#REF!))))))))))))))))))))))</f>
        <v>#REF!</v>
      </c>
    </row>
    <row r="19" spans="1:37" ht="22" customHeight="1" x14ac:dyDescent="0.2">
      <c r="A19" s="67" t="str">
        <f>Schedule!D20</f>
        <v>Doe</v>
      </c>
      <c r="B19" s="67" t="str">
        <f>Schedule!C20</f>
        <v>Jane</v>
      </c>
      <c r="C19" s="54"/>
      <c r="D19" s="54"/>
      <c r="E19" s="54"/>
      <c r="F19" s="64"/>
      <c r="G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H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I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J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K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L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M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N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O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P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Q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R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S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T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U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V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W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X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Y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Z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A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B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C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D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E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F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G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H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I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J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  <c r="AK19" s="72" t="e">
        <f>IF(Schedule!#REF!=0,Schedule!$AQ$3,IF(Schedule!#REF!=1,Schedule!$AQ$4,IF(Schedule!#REF!=2,Schedule!$AQ$5,IF(Schedule!#REF!=3,Schedule!$AQ$6,IF(Schedule!#REF!=4,Schedule!$AQ$7,IF(Schedule!#REF!=5,Schedule!$AQ$8,IF(Schedule!#REF!=6,Schedule!$AQ$9,IF(Schedule!#REF!=7,Schedule!$AQ$10,IF(Schedule!#REF!=8,Schedule!#REF!,IF(Schedule!#REF!=9,Schedule!$AQ$12,IF(Schedule!#REF!=10,Schedule!$AQ$13,IF(Schedule!#REF!=11,Schedule!#REF!,IF(Schedule!#REF!=12,Schedule!#REF!,IF(Schedule!#REF!=13,Schedule!$AQ$14,IF(Schedule!#REF!=14,Schedule!#REF!,IF(Schedule!#REF!=15,Schedule!$AQ$15,IF(Schedule!#REF!=16,Schedule!#REF!,IF(Schedule!#REF!=17,Schedule!#REF!,IF(Schedule!#REF!=18,Schedule!$AQ$16,IF(Schedule!#REF!=19,Schedule!$AQ$17,IF(Schedule!#REF!=20,Schedule!$AQ$18,IF(Schedule!#REF!=21,Schedule!#REF!))))))))))))))))))))))</f>
        <v>#REF!</v>
      </c>
    </row>
  </sheetData>
  <phoneticPr fontId="23" type="noConversion"/>
  <conditionalFormatting sqref="S12 Z12 Q11:S11 W12 P8:R8 Q9:R9 V8:X8 AB9 N10:P11 N15:P15 T4:U5">
    <cfRule type="cellIs" dxfId="18" priority="112" operator="equal">
      <formula>0</formula>
    </cfRule>
  </conditionalFormatting>
  <conditionalFormatting sqref="G3:AK19">
    <cfRule type="cellIs" dxfId="17" priority="111" operator="equal">
      <formula>0</formula>
    </cfRule>
  </conditionalFormatting>
  <conditionalFormatting sqref="F5:F6 F3 F12:F17 G3:AK19">
    <cfRule type="cellIs" dxfId="16" priority="97" operator="equal">
      <formula>"OFF"</formula>
    </cfRule>
  </conditionalFormatting>
  <conditionalFormatting sqref="AF18:AH18">
    <cfRule type="cellIs" dxfId="15" priority="26" operator="equal">
      <formula>0</formula>
    </cfRule>
  </conditionalFormatting>
  <conditionalFormatting sqref="F18 AF18:AH18">
    <cfRule type="cellIs" dxfId="14" priority="25" operator="equal">
      <formula>"OFF"</formula>
    </cfRule>
  </conditionalFormatting>
  <conditionalFormatting sqref="AF19:AH19">
    <cfRule type="cellIs" dxfId="13" priority="22" operator="equal">
      <formula>0</formula>
    </cfRule>
  </conditionalFormatting>
  <conditionalFormatting sqref="F19 AF19:AH19">
    <cfRule type="cellIs" dxfId="12" priority="21" operator="equal">
      <formula>"OFF"</formula>
    </cfRule>
  </conditionalFormatting>
  <conditionalFormatting sqref="AI18">
    <cfRule type="cellIs" dxfId="11" priority="16" operator="equal">
      <formula>0</formula>
    </cfRule>
  </conditionalFormatting>
  <conditionalFormatting sqref="AI18">
    <cfRule type="cellIs" dxfId="10" priority="15" operator="equal">
      <formula>"OFF"</formula>
    </cfRule>
  </conditionalFormatting>
  <conditionalFormatting sqref="AI19">
    <cfRule type="cellIs" dxfId="9" priority="14" operator="equal">
      <formula>0</formula>
    </cfRule>
  </conditionalFormatting>
  <conditionalFormatting sqref="AI19">
    <cfRule type="cellIs" dxfId="8" priority="13" operator="equal">
      <formula>"OFF"</formula>
    </cfRule>
  </conditionalFormatting>
  <conditionalFormatting sqref="AJ18">
    <cfRule type="cellIs" dxfId="7" priority="10" operator="equal">
      <formula>0</formula>
    </cfRule>
  </conditionalFormatting>
  <conditionalFormatting sqref="AJ18">
    <cfRule type="cellIs" dxfId="6" priority="9" operator="equal">
      <formula>"OFF"</formula>
    </cfRule>
  </conditionalFormatting>
  <conditionalFormatting sqref="AJ19">
    <cfRule type="cellIs" dxfId="5" priority="8" operator="equal">
      <formula>0</formula>
    </cfRule>
  </conditionalFormatting>
  <conditionalFormatting sqref="AJ19">
    <cfRule type="cellIs" dxfId="4" priority="7" operator="equal">
      <formula>"OFF"</formula>
    </cfRule>
  </conditionalFormatting>
  <conditionalFormatting sqref="AK18">
    <cfRule type="cellIs" dxfId="3" priority="4" operator="equal">
      <formula>0</formula>
    </cfRule>
  </conditionalFormatting>
  <conditionalFormatting sqref="AK18">
    <cfRule type="cellIs" dxfId="2" priority="3" operator="equal">
      <formula>"OFF"</formula>
    </cfRule>
  </conditionalFormatting>
  <conditionalFormatting sqref="AK19">
    <cfRule type="cellIs" dxfId="1" priority="2" operator="equal">
      <formula>0</formula>
    </cfRule>
  </conditionalFormatting>
  <conditionalFormatting sqref="AK19">
    <cfRule type="cellIs" dxfId="0" priority="1" operator="equal">
      <formula>"OFF"</formula>
    </cfRule>
  </conditionalFormatting>
  <printOptions verticalCentered="1"/>
  <pageMargins left="0.2" right="0" top="1.25" bottom="0.25" header="0.3" footer="0.3"/>
  <pageSetup orientation="landscape"/>
  <headerFooter>
    <oddHeader>&amp;C&amp;"Calibri,Bold"&amp;14&amp;K000000Yosemite Conservancy_x000D_Visitor Information Volunteers_x000D_AUGUST 2014_x000D_ Station Assignments</oddHeader>
    <oddFooter>&amp;C&amp;"Calibri,Regular"&amp;K000000&amp;P of &amp;N&amp;R&amp;"Calibri,Regular"&amp;K000000&amp;D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L16"/>
  <sheetViews>
    <sheetView workbookViewId="0">
      <selection activeCell="I3" sqref="I3"/>
    </sheetView>
  </sheetViews>
  <sheetFormatPr baseColWidth="10" defaultColWidth="8.83203125" defaultRowHeight="15" x14ac:dyDescent="0.2"/>
  <cols>
    <col min="1" max="1" width="16" customWidth="1"/>
    <col min="3" max="3" width="16.5" customWidth="1"/>
    <col min="5" max="5" width="15.5" customWidth="1"/>
  </cols>
  <sheetData>
    <row r="1" spans="1:12" x14ac:dyDescent="0.2">
      <c r="C1" t="s">
        <v>5</v>
      </c>
      <c r="E1" t="s">
        <v>5</v>
      </c>
    </row>
    <row r="2" spans="1:12" ht="16" x14ac:dyDescent="0.2">
      <c r="A2" t="s">
        <v>23</v>
      </c>
      <c r="B2" t="s">
        <v>22</v>
      </c>
      <c r="C2" s="2" t="s">
        <v>7</v>
      </c>
      <c r="D2" s="3"/>
      <c r="E2" s="2" t="s">
        <v>7</v>
      </c>
      <c r="G2" t="s">
        <v>24</v>
      </c>
    </row>
    <row r="3" spans="1:12" ht="18" thickBot="1" x14ac:dyDescent="0.25">
      <c r="A3">
        <v>0</v>
      </c>
      <c r="B3" s="4">
        <v>0</v>
      </c>
      <c r="C3" s="5" t="s">
        <v>8</v>
      </c>
      <c r="D3" s="3">
        <v>1</v>
      </c>
      <c r="E3" s="5" t="s">
        <v>8</v>
      </c>
      <c r="G3">
        <v>0</v>
      </c>
    </row>
    <row r="4" spans="1:12" ht="18" thickBot="1" x14ac:dyDescent="0.25">
      <c r="A4">
        <v>1</v>
      </c>
      <c r="B4">
        <v>1</v>
      </c>
      <c r="C4" s="6" t="s">
        <v>9</v>
      </c>
      <c r="D4" s="3">
        <v>2</v>
      </c>
      <c r="E4" s="6" t="s">
        <v>9</v>
      </c>
      <c r="G4">
        <v>1</v>
      </c>
    </row>
    <row r="5" spans="1:12" ht="18" thickBot="1" x14ac:dyDescent="0.25">
      <c r="A5">
        <v>2</v>
      </c>
      <c r="C5" s="6" t="s">
        <v>10</v>
      </c>
      <c r="D5" s="3">
        <v>3</v>
      </c>
      <c r="E5" s="6" t="s">
        <v>10</v>
      </c>
      <c r="G5">
        <v>2</v>
      </c>
    </row>
    <row r="6" spans="1:12" ht="18" thickBot="1" x14ac:dyDescent="0.25">
      <c r="A6">
        <v>3</v>
      </c>
      <c r="C6" s="6" t="s">
        <v>11</v>
      </c>
      <c r="D6" s="3">
        <v>4</v>
      </c>
      <c r="E6" s="6" t="s">
        <v>11</v>
      </c>
      <c r="G6">
        <v>3</v>
      </c>
    </row>
    <row r="7" spans="1:12" ht="18" thickBot="1" x14ac:dyDescent="0.25">
      <c r="A7">
        <v>4</v>
      </c>
      <c r="C7" s="6" t="s">
        <v>12</v>
      </c>
      <c r="D7" s="3">
        <v>5</v>
      </c>
      <c r="E7" s="6" t="s">
        <v>12</v>
      </c>
      <c r="G7">
        <v>4</v>
      </c>
      <c r="L7" t="s">
        <v>5</v>
      </c>
    </row>
    <row r="8" spans="1:12" ht="18" thickBot="1" x14ac:dyDescent="0.25">
      <c r="A8">
        <v>5</v>
      </c>
      <c r="C8" s="6" t="s">
        <v>13</v>
      </c>
      <c r="D8" s="3">
        <v>6</v>
      </c>
      <c r="E8" s="6" t="s">
        <v>13</v>
      </c>
      <c r="G8">
        <v>5</v>
      </c>
    </row>
    <row r="9" spans="1:12" ht="18" thickBot="1" x14ac:dyDescent="0.25">
      <c r="A9">
        <v>6</v>
      </c>
      <c r="C9" s="7" t="s">
        <v>14</v>
      </c>
      <c r="D9" s="3">
        <v>7</v>
      </c>
      <c r="E9" s="7" t="s">
        <v>14</v>
      </c>
      <c r="G9">
        <v>6</v>
      </c>
    </row>
    <row r="10" spans="1:12" ht="18" thickBot="1" x14ac:dyDescent="0.25">
      <c r="A10">
        <v>7</v>
      </c>
      <c r="C10" s="8" t="s">
        <v>15</v>
      </c>
      <c r="D10" s="3">
        <v>8</v>
      </c>
      <c r="E10" s="6" t="s">
        <v>18</v>
      </c>
      <c r="G10">
        <v>7</v>
      </c>
    </row>
    <row r="11" spans="1:12" ht="18" thickBot="1" x14ac:dyDescent="0.25">
      <c r="A11">
        <v>8</v>
      </c>
      <c r="C11" s="8" t="s">
        <v>16</v>
      </c>
      <c r="D11" s="3">
        <v>9</v>
      </c>
      <c r="E11" s="8" t="s">
        <v>17</v>
      </c>
      <c r="G11">
        <v>8</v>
      </c>
    </row>
    <row r="12" spans="1:12" ht="18" thickBot="1" x14ac:dyDescent="0.25">
      <c r="A12">
        <v>9</v>
      </c>
      <c r="C12" s="6" t="s">
        <v>18</v>
      </c>
      <c r="D12" s="3">
        <v>10</v>
      </c>
      <c r="E12" s="8" t="s">
        <v>20</v>
      </c>
      <c r="G12">
        <v>9</v>
      </c>
    </row>
    <row r="13" spans="1:12" ht="18" thickBot="1" x14ac:dyDescent="0.25">
      <c r="A13">
        <v>10</v>
      </c>
      <c r="C13" s="9" t="s">
        <v>19</v>
      </c>
      <c r="D13" s="3">
        <v>11</v>
      </c>
      <c r="E13" s="11" t="s">
        <v>21</v>
      </c>
      <c r="G13">
        <v>10</v>
      </c>
    </row>
    <row r="14" spans="1:12" ht="18" thickBot="1" x14ac:dyDescent="0.25">
      <c r="A14">
        <v>11</v>
      </c>
      <c r="E14" s="10" t="s">
        <v>19</v>
      </c>
      <c r="G14">
        <v>11</v>
      </c>
    </row>
    <row r="15" spans="1:12" x14ac:dyDescent="0.2">
      <c r="A15">
        <v>12</v>
      </c>
      <c r="G15">
        <v>12</v>
      </c>
    </row>
    <row r="16" spans="1:12" x14ac:dyDescent="0.2">
      <c r="A16">
        <v>13</v>
      </c>
      <c r="G16">
        <v>13</v>
      </c>
    </row>
  </sheetData>
  <dataValidations count="2">
    <dataValidation type="list" allowBlank="1" showInputMessage="1" showErrorMessage="1" sqref="I10" xr:uid="{00000000-0002-0000-0600-000000000000}">
      <formula1>Stations</formula1>
    </dataValidation>
    <dataValidation type="list" allowBlank="1" showInputMessage="1" showErrorMessage="1" sqref="I3" xr:uid="{00000000-0002-0000-0600-000001000000}">
      <formula1>Days</formula1>
    </dataValidation>
  </dataValidations>
  <pageMargins left="0.7" right="0.7" top="0.75" bottom="0.75" header="0.3" footer="0.3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C21"/>
  <sheetViews>
    <sheetView workbookViewId="0">
      <selection activeCell="A6" sqref="A6:B18"/>
    </sheetView>
  </sheetViews>
  <sheetFormatPr baseColWidth="10" defaultColWidth="8.83203125" defaultRowHeight="15" x14ac:dyDescent="0.2"/>
  <cols>
    <col min="1" max="1" width="24.5" customWidth="1"/>
    <col min="2" max="2" width="10.5" customWidth="1"/>
  </cols>
  <sheetData>
    <row r="1" spans="1:3" x14ac:dyDescent="0.2">
      <c r="B1" t="s">
        <v>26</v>
      </c>
    </row>
    <row r="2" spans="1:3" x14ac:dyDescent="0.2">
      <c r="B2" t="s">
        <v>27</v>
      </c>
      <c r="C2">
        <v>12</v>
      </c>
    </row>
    <row r="3" spans="1:3" x14ac:dyDescent="0.2">
      <c r="B3" t="s">
        <v>28</v>
      </c>
      <c r="C3">
        <v>1</v>
      </c>
    </row>
    <row r="4" spans="1:3" ht="16" thickBot="1" x14ac:dyDescent="0.25">
      <c r="B4" t="s">
        <v>29</v>
      </c>
      <c r="C4" t="s">
        <v>5</v>
      </c>
    </row>
    <row r="5" spans="1:3" ht="18" x14ac:dyDescent="0.2">
      <c r="A5" s="42" t="s">
        <v>7</v>
      </c>
      <c r="B5" s="43">
        <v>0</v>
      </c>
      <c r="C5" s="3">
        <v>0</v>
      </c>
    </row>
    <row r="6" spans="1:3" ht="18" x14ac:dyDescent="0.2">
      <c r="A6" s="44" t="s">
        <v>10</v>
      </c>
      <c r="B6" s="30">
        <v>1</v>
      </c>
      <c r="C6" s="3">
        <v>1</v>
      </c>
    </row>
    <row r="7" spans="1:3" ht="18" x14ac:dyDescent="0.2">
      <c r="A7" s="44" t="s">
        <v>12</v>
      </c>
      <c r="B7" s="30">
        <v>2</v>
      </c>
      <c r="C7" s="3">
        <v>2</v>
      </c>
    </row>
    <row r="8" spans="1:3" ht="18" x14ac:dyDescent="0.2">
      <c r="A8" s="45" t="s">
        <v>11</v>
      </c>
      <c r="B8" s="30">
        <v>3</v>
      </c>
      <c r="C8" s="3">
        <v>3</v>
      </c>
    </row>
    <row r="9" spans="1:3" ht="18" x14ac:dyDescent="0.2">
      <c r="A9" s="45" t="s">
        <v>13</v>
      </c>
      <c r="B9" s="30">
        <v>4</v>
      </c>
      <c r="C9" s="3">
        <v>4</v>
      </c>
    </row>
    <row r="10" spans="1:3" ht="18" x14ac:dyDescent="0.2">
      <c r="A10" s="46" t="s">
        <v>14</v>
      </c>
      <c r="B10" s="30">
        <v>5</v>
      </c>
      <c r="C10" s="3">
        <v>5</v>
      </c>
    </row>
    <row r="11" spans="1:3" ht="18" x14ac:dyDescent="0.2">
      <c r="A11" s="45" t="s">
        <v>8</v>
      </c>
      <c r="B11" s="30">
        <v>6</v>
      </c>
      <c r="C11" s="3">
        <v>6</v>
      </c>
    </row>
    <row r="12" spans="1:3" ht="18" x14ac:dyDescent="0.2">
      <c r="A12" s="45" t="s">
        <v>9</v>
      </c>
      <c r="B12" s="30">
        <v>7</v>
      </c>
      <c r="C12" s="3">
        <v>7</v>
      </c>
    </row>
    <row r="13" spans="1:3" ht="18" x14ac:dyDescent="0.2">
      <c r="A13" s="45" t="s">
        <v>18</v>
      </c>
      <c r="B13" s="30">
        <v>8</v>
      </c>
      <c r="C13" s="16">
        <v>8</v>
      </c>
    </row>
    <row r="14" spans="1:3" ht="18" x14ac:dyDescent="0.2">
      <c r="A14" s="47" t="s">
        <v>47</v>
      </c>
      <c r="B14" s="30">
        <v>9</v>
      </c>
      <c r="C14" s="15">
        <v>9</v>
      </c>
    </row>
    <row r="15" spans="1:3" ht="18" x14ac:dyDescent="0.2">
      <c r="A15" s="47" t="s">
        <v>17</v>
      </c>
      <c r="B15" s="30">
        <v>10</v>
      </c>
      <c r="C15" s="15">
        <v>10</v>
      </c>
    </row>
    <row r="16" spans="1:3" ht="18" x14ac:dyDescent="0.2">
      <c r="A16" s="47" t="s">
        <v>20</v>
      </c>
      <c r="B16" s="30">
        <v>11</v>
      </c>
      <c r="C16" s="3">
        <v>11</v>
      </c>
    </row>
    <row r="17" spans="1:3" ht="18" x14ac:dyDescent="0.2">
      <c r="A17" s="47" t="s">
        <v>25</v>
      </c>
      <c r="B17" s="30">
        <v>12</v>
      </c>
      <c r="C17" s="12">
        <v>12</v>
      </c>
    </row>
    <row r="18" spans="1:3" ht="18" x14ac:dyDescent="0.2">
      <c r="A18" s="47" t="s">
        <v>21</v>
      </c>
      <c r="B18" s="30">
        <v>13</v>
      </c>
      <c r="C18" s="13">
        <v>13</v>
      </c>
    </row>
    <row r="19" spans="1:3" ht="18" x14ac:dyDescent="0.2">
      <c r="A19" s="47" t="s">
        <v>55</v>
      </c>
      <c r="B19" s="30">
        <v>14</v>
      </c>
    </row>
    <row r="20" spans="1:3" ht="18" x14ac:dyDescent="0.2">
      <c r="A20" s="48" t="s">
        <v>54</v>
      </c>
      <c r="B20" s="49">
        <v>15</v>
      </c>
    </row>
    <row r="21" spans="1:3" ht="19" thickBot="1" x14ac:dyDescent="0.25">
      <c r="A21" s="50"/>
      <c r="B21" s="51">
        <v>16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V20"/>
  <sheetViews>
    <sheetView workbookViewId="0">
      <selection activeCell="A10" sqref="A10:XFD10"/>
    </sheetView>
  </sheetViews>
  <sheetFormatPr baseColWidth="10" defaultColWidth="8.83203125" defaultRowHeight="15" x14ac:dyDescent="0.2"/>
  <cols>
    <col min="1" max="1" width="27.33203125" customWidth="1"/>
    <col min="2" max="2" width="4.5" customWidth="1"/>
    <col min="3" max="18" width="5.6640625" customWidth="1"/>
    <col min="19" max="19" width="6.1640625" customWidth="1"/>
    <col min="20" max="20" width="5.5" customWidth="1"/>
    <col min="21" max="21" width="7.5" customWidth="1"/>
    <col min="22" max="22" width="6.5" customWidth="1"/>
  </cols>
  <sheetData>
    <row r="1" spans="1:22" ht="97.5" customHeight="1" x14ac:dyDescent="0.2">
      <c r="A1" s="23"/>
      <c r="B1" s="24" t="s">
        <v>7</v>
      </c>
      <c r="C1" s="25" t="s">
        <v>10</v>
      </c>
      <c r="D1" s="25" t="s">
        <v>12</v>
      </c>
      <c r="E1" s="26" t="s">
        <v>11</v>
      </c>
      <c r="F1" s="26" t="s">
        <v>13</v>
      </c>
      <c r="G1" s="27" t="s">
        <v>14</v>
      </c>
      <c r="H1" s="26" t="s">
        <v>8</v>
      </c>
      <c r="I1" s="26" t="s">
        <v>9</v>
      </c>
      <c r="J1" s="26" t="s">
        <v>18</v>
      </c>
      <c r="K1" s="26" t="s">
        <v>47</v>
      </c>
      <c r="L1" s="26" t="s">
        <v>17</v>
      </c>
      <c r="M1" s="26" t="s">
        <v>20</v>
      </c>
      <c r="N1" s="26" t="s">
        <v>25</v>
      </c>
      <c r="O1" s="26" t="s">
        <v>21</v>
      </c>
      <c r="P1" s="26" t="s">
        <v>55</v>
      </c>
      <c r="Q1" s="25" t="s">
        <v>54</v>
      </c>
      <c r="R1" s="28"/>
      <c r="S1" s="37" t="s">
        <v>56</v>
      </c>
      <c r="T1" s="37" t="s">
        <v>57</v>
      </c>
      <c r="U1" s="37" t="s">
        <v>58</v>
      </c>
    </row>
    <row r="2" spans="1:22" ht="18" x14ac:dyDescent="0.2">
      <c r="A2" s="29"/>
      <c r="B2" s="19">
        <v>0</v>
      </c>
      <c r="C2" s="20">
        <v>1</v>
      </c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1">
        <v>15</v>
      </c>
      <c r="R2" s="30">
        <v>16</v>
      </c>
      <c r="S2" t="s">
        <v>5</v>
      </c>
    </row>
    <row r="3" spans="1:22" x14ac:dyDescent="0.2">
      <c r="A3" s="29" t="s">
        <v>32</v>
      </c>
      <c r="B3" s="17" t="e">
        <f>COUNTIF(Schedule!#REF!                                                    : Schedule!#REF!,"=0")</f>
        <v>#REF!</v>
      </c>
      <c r="C3" s="1" t="e">
        <f>COUNTIF(Schedule!#REF!                                                     : Schedule!#REF!,"=1")</f>
        <v>#REF!</v>
      </c>
      <c r="D3" s="1" t="e">
        <f>COUNTIF(Schedule!#REF!                                                     : Schedule!#REF!,"=2")</f>
        <v>#REF!</v>
      </c>
      <c r="E3" s="1" t="e">
        <f>COUNTIF(Schedule!#REF!                                                     : Schedule!#REF!,"=3")</f>
        <v>#REF!</v>
      </c>
      <c r="F3" s="1" t="e">
        <f>COUNTIF(Schedule!#REF!                                                     : Schedule!#REF!,"=4")</f>
        <v>#REF!</v>
      </c>
      <c r="G3" s="1" t="e">
        <f>COUNTIF(Schedule!#REF!                                                     : Schedule!#REF!,"=5")</f>
        <v>#REF!</v>
      </c>
      <c r="H3" s="1" t="e">
        <f>COUNTIF(Schedule!#REF!                                                     : Schedule!#REF!,"=6")</f>
        <v>#REF!</v>
      </c>
      <c r="I3" s="1" t="e">
        <f>COUNTIF(Schedule!#REF!                                                     : Schedule!#REF!,"=7")</f>
        <v>#REF!</v>
      </c>
      <c r="J3" s="1" t="e">
        <f>COUNTIF(Schedule!#REF!                                                      : Schedule!#REF!,$J$2)</f>
        <v>#REF!</v>
      </c>
      <c r="K3" s="1" t="e">
        <f>COUNTIF(Schedule!#REF!                                                      : Schedule!#REF!,$K$2)</f>
        <v>#REF!</v>
      </c>
      <c r="L3" s="17" t="e">
        <f>COUNTIF(Schedule!#REF!                                                      : Schedule!#REF!,$L$2)</f>
        <v>#REF!</v>
      </c>
      <c r="M3" s="17" t="e">
        <f>COUNTIF(Schedule!#REF!                                                      : Schedule!#REF!,$M$2)</f>
        <v>#REF!</v>
      </c>
      <c r="N3" s="17" t="e">
        <f>COUNTIF(Schedule!#REF!                                                      : Schedule!#REF!,$N$2)</f>
        <v>#REF!</v>
      </c>
      <c r="O3" s="17" t="e">
        <f>COUNTIF(Schedule!#REF!                                                      : Schedule!#REF!,$O$2)</f>
        <v>#REF!</v>
      </c>
      <c r="P3" s="17" t="e">
        <f>COUNTIF(Schedule!#REF!                                                      : Schedule!#REF!,$P$2)</f>
        <v>#REF!</v>
      </c>
      <c r="Q3" s="17" t="e">
        <f>COUNTIF(Schedule!#REF!                                                      : Schedule!#REF!,$Q$2)</f>
        <v>#REF!</v>
      </c>
      <c r="R3" s="31" t="e">
        <f>COUNTIF(Schedule!#REF!                                                       : Schedule!#REF!,$R$2)</f>
        <v>#REF!</v>
      </c>
      <c r="S3" t="e">
        <f>C3+E3</f>
        <v>#REF!</v>
      </c>
      <c r="T3" t="e">
        <f>D3+F3</f>
        <v>#REF!</v>
      </c>
      <c r="U3" t="e">
        <f>H3+I3</f>
        <v>#REF!</v>
      </c>
      <c r="V3" t="e">
        <f>S3+T3</f>
        <v>#REF!</v>
      </c>
    </row>
    <row r="4" spans="1:22" x14ac:dyDescent="0.2">
      <c r="A4" s="32" t="s">
        <v>33</v>
      </c>
      <c r="B4" s="17" t="e">
        <f>COUNTIF(Schedule!#REF!                                                        : Schedule!#REF!,$B$2)</f>
        <v>#REF!</v>
      </c>
      <c r="C4" s="1" t="e">
        <f>COUNTIF(Schedule!#REF!                                                            : Schedule!#REF!,$C$2)</f>
        <v>#REF!</v>
      </c>
      <c r="D4" s="1" t="e">
        <f>COUNTIF(Schedule!#REF!                                                        : Schedule!#REF!,$D$2)</f>
        <v>#REF!</v>
      </c>
      <c r="E4" s="1" t="e">
        <f>COUNTIF(Schedule!#REF!                                                         : Schedule!#REF!,$E$2)</f>
        <v>#REF!</v>
      </c>
      <c r="F4" s="1" t="e">
        <f>COUNTIF(Schedule!#REF!                                                       : Schedule!#REF!,$F$2)</f>
        <v>#REF!</v>
      </c>
      <c r="G4" s="1" t="e">
        <f>COUNTIF(Schedule!#REF!                                                       : Schedule!#REF!,$G$2)</f>
        <v>#REF!</v>
      </c>
      <c r="H4" s="1" t="e">
        <f>COUNTIF(Schedule!#REF!                                                       : Schedule!#REF!,$H$2)</f>
        <v>#REF!</v>
      </c>
      <c r="I4" s="1" t="e">
        <f>COUNTIF(Schedule!#REF!                                                       : Schedule!#REF!,$I$2)</f>
        <v>#REF!</v>
      </c>
      <c r="J4" s="1" t="e">
        <f>COUNTIF(Schedule!#REF!                                                      : Schedule!#REF!,$J$2)</f>
        <v>#REF!</v>
      </c>
      <c r="K4" s="1" t="e">
        <f>COUNTIF(Schedule!#REF!                                                      : Schedule!#REF!,$K$2)</f>
        <v>#REF!</v>
      </c>
      <c r="L4" s="17" t="e">
        <f>COUNTIF(Schedule!#REF!                                                      : Schedule!#REF!,$L$2)</f>
        <v>#REF!</v>
      </c>
      <c r="M4" s="17" t="e">
        <f>COUNTIF(Schedule!#REF!                                                      : Schedule!#REF!,$M$2)</f>
        <v>#REF!</v>
      </c>
      <c r="N4" s="17" t="e">
        <f>COUNTIF(Schedule!#REF!                                                      : Schedule!#REF!,$N$2)</f>
        <v>#REF!</v>
      </c>
      <c r="O4" s="17" t="e">
        <f>COUNTIF(Schedule!#REF!                                                      : Schedule!#REF!,$O$2)</f>
        <v>#REF!</v>
      </c>
      <c r="P4" s="17" t="e">
        <f>COUNTIF(Schedule!#REF!                                                        : Schedule!#REF!,$P$2)</f>
        <v>#REF!</v>
      </c>
      <c r="Q4" s="17" t="e">
        <f>COUNTIF(Schedule!#REF!                                                      : Schedule!#REF!,$Q$2)</f>
        <v>#REF!</v>
      </c>
      <c r="R4" s="31" t="e">
        <f>COUNTIF(Schedule!#REF!                                                      : Schedule!#REF!,$R$2)</f>
        <v>#REF!</v>
      </c>
      <c r="S4" t="e">
        <f t="shared" ref="S4:S18" si="0">C4+E4</f>
        <v>#REF!</v>
      </c>
      <c r="T4" t="e">
        <f t="shared" ref="T4:T18" si="1">D4+F4</f>
        <v>#REF!</v>
      </c>
      <c r="U4" t="e">
        <f t="shared" ref="U4:U18" si="2">H4+I4</f>
        <v>#REF!</v>
      </c>
      <c r="V4" t="e">
        <f t="shared" ref="V4:V14" si="3">S4+T4</f>
        <v>#REF!</v>
      </c>
    </row>
    <row r="5" spans="1:22" x14ac:dyDescent="0.2">
      <c r="A5" s="32" t="s">
        <v>34</v>
      </c>
      <c r="B5" s="17" t="e">
        <f>COUNTIF(Schedule!#REF!                                                         : Schedule!#REF!,$B$2)</f>
        <v>#REF!</v>
      </c>
      <c r="C5" s="1" t="e">
        <f>COUNTIF(Schedule!#REF!                                                            : Schedule!#REF!,$C$2)</f>
        <v>#REF!</v>
      </c>
      <c r="D5" s="1" t="e">
        <f>COUNTIF(Schedule!#REF!                                                         : Schedule!#REF!,$D$2)</f>
        <v>#REF!</v>
      </c>
      <c r="E5" s="1" t="e">
        <f>COUNTIF(Schedule!#REF!                                                          : Schedule!#REF!,$E$2)</f>
        <v>#REF!</v>
      </c>
      <c r="F5" s="1" t="e">
        <f>COUNTIF(Schedule!#REF!                                                        : Schedule!#REF!,$F$2)</f>
        <v>#REF!</v>
      </c>
      <c r="G5" s="1" t="e">
        <f>COUNTIF(Schedule!#REF!                                                        : Schedule!#REF!,$G$2)</f>
        <v>#REF!</v>
      </c>
      <c r="H5" s="1" t="e">
        <f>COUNTIF(Schedule!#REF!                                                        : Schedule!#REF!,$H$2)</f>
        <v>#REF!</v>
      </c>
      <c r="I5" s="1" t="e">
        <f>COUNTIF(Schedule!#REF!                                                        : Schedule!#REF!,$I$2)</f>
        <v>#REF!</v>
      </c>
      <c r="J5" s="1" t="e">
        <f>COUNTIF(Schedule!#REF!                                                      : Schedule!#REF!,$J$2)</f>
        <v>#REF!</v>
      </c>
      <c r="K5" s="1" t="e">
        <f>COUNTIF(Schedule!#REF!                                                       : Schedule!#REF!,$K$2)</f>
        <v>#REF!</v>
      </c>
      <c r="L5" s="17" t="e">
        <f>COUNTIF(Schedule!#REF!                                                       : Schedule!#REF!,$L$2)</f>
        <v>#REF!</v>
      </c>
      <c r="M5" s="17" t="e">
        <f>COUNTIF(Schedule!#REF!                                                      : Schedule!#REF!,$M$2)</f>
        <v>#REF!</v>
      </c>
      <c r="N5" s="17" t="e">
        <f>COUNTIF(Schedule!#REF!                                                       : Schedule!#REF!,$N$2)</f>
        <v>#REF!</v>
      </c>
      <c r="O5" s="17" t="e">
        <f>COUNTIF(Schedule!#REF!                                                       : Schedule!#REF!,$O$2)</f>
        <v>#REF!</v>
      </c>
      <c r="P5" s="17" t="e">
        <f>COUNTIF(Schedule!#REF!                                                        : Schedule!#REF!,$P$2)</f>
        <v>#REF!</v>
      </c>
      <c r="Q5" s="17" t="e">
        <f>COUNTIF(Schedule!#REF!                                                      : Schedule!#REF!,$Q$2)</f>
        <v>#REF!</v>
      </c>
      <c r="R5" s="31" t="e">
        <f>COUNTIF(Schedule!#REF!                                                       : Schedule!#REF!,$R$2)</f>
        <v>#REF!</v>
      </c>
      <c r="S5" t="e">
        <f t="shared" si="0"/>
        <v>#REF!</v>
      </c>
      <c r="T5" t="e">
        <f t="shared" si="1"/>
        <v>#REF!</v>
      </c>
      <c r="U5" t="e">
        <f t="shared" si="2"/>
        <v>#REF!</v>
      </c>
      <c r="V5" t="e">
        <f t="shared" si="3"/>
        <v>#REF!</v>
      </c>
    </row>
    <row r="6" spans="1:22" x14ac:dyDescent="0.2">
      <c r="A6" s="29" t="s">
        <v>35</v>
      </c>
      <c r="B6" s="17" t="e">
        <f>COUNTIF(Schedule!#REF!                                                         : Schedule!#REF!,$B$2)</f>
        <v>#REF!</v>
      </c>
      <c r="C6" s="1" t="e">
        <f>COUNTIF(Schedule!#REF!                                                            : Schedule!#REF!,$C$2)</f>
        <v>#REF!</v>
      </c>
      <c r="D6" s="1" t="e">
        <f>COUNTIF(Schedule!#REF!                                                         : Schedule!#REF!,$D$2)</f>
        <v>#REF!</v>
      </c>
      <c r="E6" s="1" t="e">
        <f>COUNTIF(Schedule!#REF!                                                          : Schedule!#REF!,$E$2)</f>
        <v>#REF!</v>
      </c>
      <c r="F6" s="1" t="e">
        <f>COUNTIF(Schedule!#REF!                                                        : Schedule!#REF!,$F$2)</f>
        <v>#REF!</v>
      </c>
      <c r="G6" s="1" t="e">
        <f>COUNTIF(Schedule!#REF!                                                        : Schedule!#REF!,$G$2)</f>
        <v>#REF!</v>
      </c>
      <c r="H6" s="1" t="e">
        <f>COUNTIF(Schedule!#REF!                                                        : Schedule!#REF!,$H$2)</f>
        <v>#REF!</v>
      </c>
      <c r="I6" s="1" t="e">
        <f>COUNTIF(Schedule!#REF!                                                        : Schedule!#REF!,$I$2)</f>
        <v>#REF!</v>
      </c>
      <c r="J6" s="1" t="e">
        <f>COUNTIF(Schedule!#REF!                                                       : Schedule!#REF!,$J$2)</f>
        <v>#REF!</v>
      </c>
      <c r="K6" s="1" t="e">
        <f>COUNTIF(Schedule!#REF!                                                       : Schedule!#REF!,$K$2)</f>
        <v>#REF!</v>
      </c>
      <c r="L6" s="17" t="e">
        <f>COUNTIF(Schedule!#REF!                                                       : Schedule!#REF!,$L$2)</f>
        <v>#REF!</v>
      </c>
      <c r="M6" s="17" t="e">
        <f>COUNTIF(Schedule!#REF!                                                       : Schedule!#REF!,$M$2)</f>
        <v>#REF!</v>
      </c>
      <c r="N6" s="17" t="e">
        <f>COUNTIF(Schedule!#REF!                                                       : Schedule!#REF!,$N$2)</f>
        <v>#REF!</v>
      </c>
      <c r="O6" s="17" t="e">
        <f>COUNTIF(Schedule!#REF!                                                       : Schedule!#REF!,$O$2)</f>
        <v>#REF!</v>
      </c>
      <c r="P6" s="17" t="e">
        <f>COUNTIF(Schedule!#REF!                                                        : Schedule!#REF!,$P$2)</f>
        <v>#REF!</v>
      </c>
      <c r="Q6" s="17" t="e">
        <f>COUNTIF(Schedule!#REF!                                                       : Schedule!#REF!,$Q$2)</f>
        <v>#REF!</v>
      </c>
      <c r="R6" s="31" t="e">
        <f>COUNTIF(Schedule!#REF!                                                        : Schedule!#REF!,$R$2)</f>
        <v>#REF!</v>
      </c>
      <c r="S6" t="e">
        <f t="shared" si="0"/>
        <v>#REF!</v>
      </c>
      <c r="T6" t="e">
        <f t="shared" si="1"/>
        <v>#REF!</v>
      </c>
      <c r="U6" t="e">
        <f t="shared" si="2"/>
        <v>#REF!</v>
      </c>
      <c r="V6" t="e">
        <f t="shared" si="3"/>
        <v>#REF!</v>
      </c>
    </row>
    <row r="7" spans="1:22" x14ac:dyDescent="0.2">
      <c r="A7" s="29" t="s">
        <v>46</v>
      </c>
      <c r="B7" s="17" t="e">
        <f>COUNTIF(Schedule!#REF!                                                        : Schedule!#REF!,$B$2)</f>
        <v>#REF!</v>
      </c>
      <c r="C7" s="1" t="e">
        <f>COUNTIF(Schedule!#REF!                                                             : Schedule!#REF!,$C$2)</f>
        <v>#REF!</v>
      </c>
      <c r="D7" s="1" t="e">
        <f>COUNTIF(Schedule!#REF!                                                         : Schedule!#REF!,$D$2)</f>
        <v>#REF!</v>
      </c>
      <c r="E7" s="1" t="e">
        <f>COUNTIF(Schedule!#REF!                                                          : Schedule!#REF!,$E$2)</f>
        <v>#REF!</v>
      </c>
      <c r="F7" s="1" t="e">
        <f>COUNTIF(Schedule!#REF!:Schedule!#REF!,F$2)</f>
        <v>#REF!</v>
      </c>
      <c r="G7" s="1" t="e">
        <f>COUNTIF(Schedule!#REF!                                                       : Schedule!#REF!,$G$2)</f>
        <v>#REF!</v>
      </c>
      <c r="H7" s="1" t="e">
        <f>COUNTIF(Schedule!#REF!                                                        : Schedule!#REF!,$H$2)</f>
        <v>#REF!</v>
      </c>
      <c r="I7" s="1" t="e">
        <f>COUNTIF(Schedule!#REF!                                                        : Schedule!#REF!,$I$2)</f>
        <v>#REF!</v>
      </c>
      <c r="J7" s="1" t="e">
        <f>COUNTIF(Schedule!#REF!                                                  : Schedule!#REF!,"8")</f>
        <v>#REF!</v>
      </c>
      <c r="K7" s="1" t="e">
        <f>COUNTIF(Schedule!#REF!                                                       : Schedule!#REF!,$K$2)</f>
        <v>#REF!</v>
      </c>
      <c r="L7" s="17" t="e">
        <f>COUNTIF(Schedule!#REF!                                                       : Schedule!#REF!,$L$2)</f>
        <v>#REF!</v>
      </c>
      <c r="M7" s="17" t="e">
        <f>COUNTIF(Schedule!#REF!                                                       : Schedule!#REF!,$M$2)</f>
        <v>#REF!</v>
      </c>
      <c r="N7" s="17" t="e">
        <f>COUNTIF(Schedule!#REF!                                                       : Schedule!#REF!,$N$2)</f>
        <v>#REF!</v>
      </c>
      <c r="O7" s="17" t="e">
        <f>COUNTIF(Schedule!#REF!                                                      : Schedule!#REF!,$O$2)</f>
        <v>#REF!</v>
      </c>
      <c r="P7" s="17" t="e">
        <f>COUNTIF(Schedule!#REF!                                                        : Schedule!#REF!,$P$2)</f>
        <v>#REF!</v>
      </c>
      <c r="Q7" s="17" t="e">
        <f>COUNTIF(Schedule!#REF!                                                       : Schedule!#REF!,$Q$2)</f>
        <v>#REF!</v>
      </c>
      <c r="R7" s="31" t="e">
        <f>COUNTIF(Schedule!#REF!                                                        : Schedule!#REF!,$R$2)</f>
        <v>#REF!</v>
      </c>
      <c r="S7" t="e">
        <f t="shared" si="0"/>
        <v>#REF!</v>
      </c>
      <c r="T7" t="e">
        <f t="shared" si="1"/>
        <v>#REF!</v>
      </c>
      <c r="U7" t="e">
        <f t="shared" si="2"/>
        <v>#REF!</v>
      </c>
      <c r="V7" t="e">
        <f t="shared" si="3"/>
        <v>#REF!</v>
      </c>
    </row>
    <row r="8" spans="1:22" x14ac:dyDescent="0.2">
      <c r="A8" s="33" t="s">
        <v>36</v>
      </c>
      <c r="B8" s="17" t="e">
        <f>COUNTIF(Schedule!#REF!         : Schedule!#REF!,$B$2)</f>
        <v>#REF!</v>
      </c>
      <c r="C8" s="1" t="e">
        <f>COUNTIF(Schedule!#REF!         : Schedule!#REF!,$C$2)</f>
        <v>#REF!</v>
      </c>
      <c r="D8" s="1" t="e">
        <f>COUNTIF(Schedule!#REF!               : Schedule!#REF!,$D$2)</f>
        <v>#REF!</v>
      </c>
      <c r="E8" s="1" t="e">
        <f>COUNTIF(Schedule!#REF!                : Schedule!#REF!,$E$2)</f>
        <v>#REF!</v>
      </c>
      <c r="F8" s="1" t="e">
        <f>COUNTIF(Schedule!#REF!         : Schedule!#REF!,$F$2)</f>
        <v>#REF!</v>
      </c>
      <c r="G8" s="1" t="e">
        <f>COUNTIF(Schedule!#REF!            : Schedule!#REF!,$G$2)</f>
        <v>#REF!</v>
      </c>
      <c r="H8" s="1" t="e">
        <f>COUNTIF(Schedule!#REF!              : Schedule!#REF!,$H$2)</f>
        <v>#REF!</v>
      </c>
      <c r="I8" s="1" t="e">
        <f>COUNTIF(Schedule!#REF!              : Schedule!#REF!,$I$2)</f>
        <v>#REF!</v>
      </c>
      <c r="J8" s="1" t="e">
        <f>COUNTIF(Schedule!#REF!             : Schedule!#REF!,$J$2)</f>
        <v>#REF!</v>
      </c>
      <c r="K8" s="1" t="e">
        <f>COUNTIF(Schedule!#REF!             : Schedule!#REF!,$K$2)</f>
        <v>#REF!</v>
      </c>
      <c r="L8" s="17" t="e">
        <f>COUNTIF(Schedule!#REF!             : Schedule!#REF!,$L$2)</f>
        <v>#REF!</v>
      </c>
      <c r="M8" s="17" t="e">
        <f>COUNTIF(Schedule!#REF!             : Schedule!#REF!,$M$2)</f>
        <v>#REF!</v>
      </c>
      <c r="N8" s="17" t="e">
        <f>COUNTIF(Schedule!#REF!             : Schedule!#REF!,$N$2)</f>
        <v>#REF!</v>
      </c>
      <c r="O8" s="17" t="e">
        <f>COUNTIF(Schedule!#REF!             : Schedule!#REF!,$O$2)</f>
        <v>#REF!</v>
      </c>
      <c r="P8" s="17" t="e">
        <f>COUNTIF(Schedule!#REF!              : Schedule!#REF!,$P$2)</f>
        <v>#REF!</v>
      </c>
      <c r="Q8" s="17" t="e">
        <f>COUNTIF(Schedule!#REF!             : Schedule!#REF!,$Q$2)</f>
        <v>#REF!</v>
      </c>
      <c r="R8" s="31" t="e">
        <f>COUNTIF(Schedule!#REF!              : Schedule!#REF!,$R$2)</f>
        <v>#REF!</v>
      </c>
      <c r="S8" t="e">
        <f t="shared" si="0"/>
        <v>#REF!</v>
      </c>
      <c r="T8" t="e">
        <f t="shared" si="1"/>
        <v>#REF!</v>
      </c>
      <c r="U8" t="e">
        <f t="shared" si="2"/>
        <v>#REF!</v>
      </c>
      <c r="V8" t="e">
        <f t="shared" si="3"/>
        <v>#REF!</v>
      </c>
    </row>
    <row r="9" spans="1:22" x14ac:dyDescent="0.2">
      <c r="A9" s="29" t="s">
        <v>39</v>
      </c>
      <c r="B9" s="17" t="e">
        <f>COUNTIF(Schedule!#REF!                                                : Schedule!#REF!,$B$2)</f>
        <v>#REF!</v>
      </c>
      <c r="C9" s="1" t="e">
        <f>COUNTIF(Schedule!#REF!                                                : Schedule!#REF!,$C$2)</f>
        <v>#REF!</v>
      </c>
      <c r="D9" s="1" t="e">
        <f>COUNTIF(Schedule!#REF!                                                      : Schedule!#REF!,$D$2)</f>
        <v>#REF!</v>
      </c>
      <c r="E9" s="1" t="e">
        <f>COUNTIF(Schedule!#REF!                                                       : Schedule!#REF!,$E$2)</f>
        <v>#REF!</v>
      </c>
      <c r="F9" s="1" t="e">
        <f>COUNTIF(Schedule!#REF!                                                     : Schedule!#REF!,$F$2)</f>
        <v>#REF!</v>
      </c>
      <c r="G9" s="1" t="e">
        <f>COUNTIF(Schedule!#REF!                                                     : Schedule!#REF!,$G$2)</f>
        <v>#REF!</v>
      </c>
      <c r="H9" s="1" t="e">
        <f>COUNTIF(Schedule!#REF!                                                     : Schedule!#REF!,$H$2)</f>
        <v>#REF!</v>
      </c>
      <c r="I9" s="1" t="e">
        <f>COUNTIF(Schedule!#REF!                                                     : Schedule!#REF!,$I$2)</f>
        <v>#REF!</v>
      </c>
      <c r="J9" s="1" t="e">
        <f>COUNTIF(Schedule!#REF!                                                    : Schedule!#REF!,$J$2)</f>
        <v>#REF!</v>
      </c>
      <c r="K9" s="1" t="e">
        <f>COUNTIF(Schedule!#REF!                                                    : Schedule!#REF!,$K$2)</f>
        <v>#REF!</v>
      </c>
      <c r="L9" s="17" t="e">
        <f>COUNTIF(Schedule!#REF!                                                    : Schedule!#REF!,$L$2)</f>
        <v>#REF!</v>
      </c>
      <c r="M9" s="17" t="e">
        <f>COUNTIF(Schedule!#REF!                                                   : Schedule!#REF!,$M$2)</f>
        <v>#REF!</v>
      </c>
      <c r="N9" s="17" t="e">
        <f>COUNTIF(Schedule!#REF!                                                    : Schedule!#REF!,$N$2)</f>
        <v>#REF!</v>
      </c>
      <c r="O9" s="17" t="e">
        <f>COUNTIF(Schedule!#REF!                                                    : Schedule!#REF!,$O$2)</f>
        <v>#REF!</v>
      </c>
      <c r="P9" s="17" t="e">
        <f>COUNTIF(Schedule!#REF!                                                    : Schedule!#REF!,$P$2)</f>
        <v>#REF!</v>
      </c>
      <c r="Q9" s="17" t="e">
        <f>COUNTIF(Schedule!#REF!                                                   : Schedule!#REF!,$Q$2)</f>
        <v>#REF!</v>
      </c>
      <c r="R9" s="31" t="e">
        <f>COUNTIF(Schedule!#REF!                                                    : Schedule!#REF!,$R$2)</f>
        <v>#REF!</v>
      </c>
      <c r="S9" t="e">
        <f t="shared" si="0"/>
        <v>#REF!</v>
      </c>
      <c r="T9" t="e">
        <f t="shared" si="1"/>
        <v>#REF!</v>
      </c>
      <c r="U9" t="e">
        <f t="shared" si="2"/>
        <v>#REF!</v>
      </c>
      <c r="V9" t="e">
        <f t="shared" si="3"/>
        <v>#REF!</v>
      </c>
    </row>
    <row r="10" spans="1:22" x14ac:dyDescent="0.2">
      <c r="A10" s="29" t="s">
        <v>37</v>
      </c>
      <c r="B10" s="17" t="e">
        <f>COUNTIF(Schedule!#REF!                                                         : Schedule!#REF!,$B$2)</f>
        <v>#REF!</v>
      </c>
      <c r="C10" s="1" t="e">
        <f>COUNTIF(Schedule!#REF!                                                             : Schedule!#REF!,$C$2)</f>
        <v>#REF!</v>
      </c>
      <c r="D10" s="1" t="e">
        <f>COUNTIF(Schedule!#REF!                                                         : Schedule!#REF!,$D$2)</f>
        <v>#REF!</v>
      </c>
      <c r="E10" s="1" t="e">
        <f>COUNTIF(Schedule!#REF!                                                         : Schedule!#REF!,$E$2)</f>
        <v>#REF!</v>
      </c>
      <c r="F10" s="1" t="e">
        <f>COUNTIF(Schedule!#REF!                                                        : Schedule!#REF!,$F$2)</f>
        <v>#REF!</v>
      </c>
      <c r="G10" s="1" t="e">
        <f>COUNTIF(Schedule!#REF!                                                       : Schedule!#REF!,$G$2)</f>
        <v>#REF!</v>
      </c>
      <c r="H10" s="1" t="e">
        <f>COUNTIF(Schedule!#REF!                                                        : Schedule!#REF!,$H$2)</f>
        <v>#REF!</v>
      </c>
      <c r="I10" s="1" t="e">
        <f>COUNTIF(Schedule!#REF!                                                        : Schedule!#REF!,$I$2)</f>
        <v>#REF!</v>
      </c>
      <c r="J10" s="1" t="e">
        <f>COUNTIF(Schedule!#REF!                                                       : Schedule!#REF!,$J$2)</f>
        <v>#REF!</v>
      </c>
      <c r="K10" s="1" t="e">
        <f>COUNTIF(Schedule!#REF!                                                       : Schedule!#REF!,$K$2)</f>
        <v>#REF!</v>
      </c>
      <c r="L10" s="17" t="e">
        <f>COUNTIF(Schedule!#REF!                                                       : Schedule!#REF!,$L$2)</f>
        <v>#REF!</v>
      </c>
      <c r="M10" s="17" t="e">
        <f>COUNTIF(Schedule!#REF!                                                       : Schedule!#REF!,$M$2)</f>
        <v>#REF!</v>
      </c>
      <c r="N10" s="17" t="e">
        <f>COUNTIF(Schedule!#REF!                                                       : Schedule!#REF!,$N$2)</f>
        <v>#REF!</v>
      </c>
      <c r="O10" s="17" t="e">
        <f>COUNTIF(Schedule!#REF!                                                       : Schedule!#REF!,$O$2)</f>
        <v>#REF!</v>
      </c>
      <c r="P10" s="17" t="e">
        <f>COUNTIF(Schedule!#REF!                                                        : Schedule!#REF!,$P$2)</f>
        <v>#REF!</v>
      </c>
      <c r="Q10" s="17" t="e">
        <f>COUNTIF(Schedule!#REF!                                                       : Schedule!#REF!,$Q$2)</f>
        <v>#REF!</v>
      </c>
      <c r="R10" s="31" t="e">
        <f>COUNTIF(Schedule!#REF!                                                        : Schedule!#REF!,$R$2)</f>
        <v>#REF!</v>
      </c>
      <c r="S10" t="e">
        <f t="shared" si="0"/>
        <v>#REF!</v>
      </c>
      <c r="T10" t="e">
        <f t="shared" si="1"/>
        <v>#REF!</v>
      </c>
      <c r="U10" t="e">
        <f t="shared" si="2"/>
        <v>#REF!</v>
      </c>
      <c r="V10" t="e">
        <f t="shared" si="3"/>
        <v>#REF!</v>
      </c>
    </row>
    <row r="11" spans="1:22" x14ac:dyDescent="0.2">
      <c r="A11" s="29" t="s">
        <v>6</v>
      </c>
      <c r="B11" s="17" t="e">
        <f>COUNTIF(Schedule!#REF!                                                         : Schedule!#REF!,$B$2)</f>
        <v>#REF!</v>
      </c>
      <c r="C11" s="1" t="e">
        <f>COUNTIF(Schedule!#REF!                                                              : Schedule!#REF!,$C$2)</f>
        <v>#REF!</v>
      </c>
      <c r="D11" s="1" t="e">
        <f>COUNTIF(Schedule!#REF!                                                         : Schedule!#REF!,$D$2)</f>
        <v>#REF!</v>
      </c>
      <c r="E11" s="1" t="e">
        <f>COUNTIF(Schedule!#REF!                                                       : Schedule!#REF!,$E$2)</f>
        <v>#REF!</v>
      </c>
      <c r="F11" s="1" t="e">
        <f>COUNTIF(Schedule!#REF!                                                        : Schedule!#REF!,$F$2)</f>
        <v>#REF!</v>
      </c>
      <c r="G11" s="1" t="e">
        <f>COUNTIF(Schedule!#REF!                                                        : Schedule!#REF!,$G$2)</f>
        <v>#REF!</v>
      </c>
      <c r="H11" s="1" t="e">
        <f>COUNTIF(Schedule!#REF!                                                        : Schedule!#REF!,$H$2)</f>
        <v>#REF!</v>
      </c>
      <c r="I11" s="1" t="e">
        <f>COUNTIF(Schedule!#REF!                                                        : Schedule!#REF!,$I$2)</f>
        <v>#REF!</v>
      </c>
      <c r="J11" s="1" t="e">
        <f>COUNTIF(Schedule!#REF!                                                       : Schedule!#REF!,$J$2)</f>
        <v>#REF!</v>
      </c>
      <c r="K11" s="1" t="e">
        <f>COUNTIF(Schedule!#REF!                                                       : Schedule!#REF!,$K$2)</f>
        <v>#REF!</v>
      </c>
      <c r="L11" s="17" t="e">
        <f>COUNTIF(Schedule!#REF!                                                       : Schedule!#REF!,$L$2)</f>
        <v>#REF!</v>
      </c>
      <c r="M11" s="17" t="e">
        <f>COUNTIF(Schedule!#REF!                                                       : Schedule!#REF!,$M$2)</f>
        <v>#REF!</v>
      </c>
      <c r="N11" s="17" t="e">
        <f>COUNTIF(Schedule!#REF!                                                       : Schedule!#REF!,$N$2)</f>
        <v>#REF!</v>
      </c>
      <c r="O11" s="17" t="e">
        <f>COUNTIF(Schedule!#REF!                                                      : Schedule!#REF!,$O$2)</f>
        <v>#REF!</v>
      </c>
      <c r="P11" s="17" t="e">
        <f>COUNTIF(Schedule!#REF!                                                        : Schedule!#REF!,$P$2)</f>
        <v>#REF!</v>
      </c>
      <c r="Q11" s="17" t="e">
        <f>COUNTIF(Schedule!#REF!                                                       : Schedule!#REF!,$Q$2)</f>
        <v>#REF!</v>
      </c>
      <c r="R11" s="31" t="e">
        <f>COUNTIF(Schedule!#REF!                                                        : Schedule!#REF!,$R$2)</f>
        <v>#REF!</v>
      </c>
      <c r="S11" t="e">
        <f t="shared" si="0"/>
        <v>#REF!</v>
      </c>
      <c r="T11" t="e">
        <f t="shared" si="1"/>
        <v>#REF!</v>
      </c>
      <c r="U11" t="e">
        <f t="shared" si="2"/>
        <v>#REF!</v>
      </c>
      <c r="V11" t="e">
        <f t="shared" si="3"/>
        <v>#REF!</v>
      </c>
    </row>
    <row r="12" spans="1:22" x14ac:dyDescent="0.2">
      <c r="A12" s="33" t="s">
        <v>40</v>
      </c>
      <c r="B12" s="17" t="e">
        <f>COUNTIF(Schedule!#REF!                                                         : Schedule!#REF!,$B$2)</f>
        <v>#REF!</v>
      </c>
      <c r="C12" s="1" t="e">
        <f>COUNTIF(Schedule!#REF!                                                             : Schedule!#REF!,$C$2)</f>
        <v>#REF!</v>
      </c>
      <c r="D12" s="1" t="e">
        <f>COUNTIF(Schedule!#REF!                                                       : Schedule!#REF!,$D$2)</f>
        <v>#REF!</v>
      </c>
      <c r="E12" s="1" t="e">
        <f>COUNTIF(Schedule!#REF!                                                         : Schedule!#REF!,$E$2)</f>
        <v>#REF!</v>
      </c>
      <c r="F12" s="1" t="e">
        <f>COUNTIF(Schedule!#REF!                                                        : Schedule!#REF!,$F$2)</f>
        <v>#REF!</v>
      </c>
      <c r="G12" s="1" t="e">
        <f>COUNTIF(Schedule!#REF!                                                        : Schedule!#REF!,$G$2)</f>
        <v>#REF!</v>
      </c>
      <c r="H12" s="1" t="e">
        <f>COUNTIF(Schedule!#REF!                                                        : Schedule!#REF!,$H$2)</f>
        <v>#REF!</v>
      </c>
      <c r="I12" s="1" t="e">
        <f>COUNTIF(Schedule!#REF!                                                      : Schedule!#REF!,$I$2)</f>
        <v>#REF!</v>
      </c>
      <c r="J12" s="1" t="e">
        <f>COUNTIF(Schedule!#REF!                                                       : Schedule!#REF!,$J$2)</f>
        <v>#REF!</v>
      </c>
      <c r="K12" s="1" t="e">
        <f>COUNTIF(Schedule!#REF!                                                       : Schedule!#REF!,$K$2)</f>
        <v>#REF!</v>
      </c>
      <c r="L12" s="17" t="e">
        <f>COUNTIF(Schedule!#REF!                                                      : Schedule!#REF!,$L$2)</f>
        <v>#REF!</v>
      </c>
      <c r="M12" s="17" t="e">
        <f>COUNTIF(Schedule!#REF!                                                       : Schedule!#REF!,$M$2)</f>
        <v>#REF!</v>
      </c>
      <c r="N12" s="17" t="e">
        <f>COUNTIF(Schedule!#REF!                                                     : Schedule!#REF!,$N$2)</f>
        <v>#REF!</v>
      </c>
      <c r="O12" s="17" t="e">
        <f>COUNTIF(Schedule!#REF!                                                       : Schedule!#REF!,$O$2)</f>
        <v>#REF!</v>
      </c>
      <c r="P12" s="17" t="e">
        <f>COUNTIF(Schedule!#REF!                                                        : Schedule!#REF!,$P$2)</f>
        <v>#REF!</v>
      </c>
      <c r="Q12" s="17" t="e">
        <f>COUNTIF(Schedule!#REF!                                                       : Schedule!#REF!,$Q$2)</f>
        <v>#REF!</v>
      </c>
      <c r="R12" s="31" t="e">
        <f>COUNTIF(Schedule!#REF!                                                       : Schedule!#REF!,$R$2)</f>
        <v>#REF!</v>
      </c>
      <c r="S12" t="e">
        <f t="shared" si="0"/>
        <v>#REF!</v>
      </c>
      <c r="T12" t="e">
        <f t="shared" si="1"/>
        <v>#REF!</v>
      </c>
      <c r="U12" t="e">
        <f t="shared" si="2"/>
        <v>#REF!</v>
      </c>
      <c r="V12" t="e">
        <f t="shared" si="3"/>
        <v>#REF!</v>
      </c>
    </row>
    <row r="13" spans="1:22" x14ac:dyDescent="0.2">
      <c r="A13" s="29" t="s">
        <v>38</v>
      </c>
      <c r="B13" s="17" t="e">
        <f>COUNTIF(Schedule!#REF!                        : Schedule!#REF!,$B$2)</f>
        <v>#REF!</v>
      </c>
      <c r="C13" s="17" t="e">
        <f>COUNTIF(Schedule!#REF!                            : Schedule!#REF!,$C$2)</f>
        <v>#REF!</v>
      </c>
      <c r="D13" s="17" t="e">
        <f>COUNTIF(Schedule!#REF!                        : Schedule!#REF!,$D$2)</f>
        <v>#REF!</v>
      </c>
      <c r="E13" s="17" t="e">
        <f>COUNTIF(Schedule!#REF!                         : Schedule!#REF!,$E$2)</f>
        <v>#REF!</v>
      </c>
      <c r="F13" s="17" t="e">
        <f>COUNTIF(Schedule!#REF!                       : Schedule!#REF!,$F$2)</f>
        <v>#REF!</v>
      </c>
      <c r="G13" s="17" t="e">
        <f>COUNTIF(Schedule!#REF!                       : Schedule!#REF!,$G$2)</f>
        <v>#REF!</v>
      </c>
      <c r="H13" s="17" t="e">
        <f>COUNTIF(Schedule!#REF!                       : Schedule!#REF!,$H$2)</f>
        <v>#REF!</v>
      </c>
      <c r="I13" s="17" t="e">
        <f>COUNTIF(Schedule!#REF!                       : Schedule!#REF!,$I$2)</f>
        <v>#REF!</v>
      </c>
      <c r="J13" s="17" t="e">
        <f>COUNTIF(Schedule!#REF!                      : Schedule!#REF!,$J$2)</f>
        <v>#REF!</v>
      </c>
      <c r="K13" s="17" t="e">
        <f>COUNTIF(Schedule!#REF!                      : Schedule!#REF!,$K$2)</f>
        <v>#REF!</v>
      </c>
      <c r="L13" s="17" t="e">
        <f>COUNTIF(Schedule!#REF!                      : Schedule!#REF!,$L$2)</f>
        <v>#REF!</v>
      </c>
      <c r="M13" s="17" t="e">
        <f>COUNTIF(Schedule!#REF!                      : Schedule!#REF!,$M$2)</f>
        <v>#REF!</v>
      </c>
      <c r="N13" s="17" t="e">
        <f>COUNTIF(Schedule!#REF!                      : Schedule!#REF!,$N$2)</f>
        <v>#REF!</v>
      </c>
      <c r="O13" s="17" t="e">
        <f>COUNTIF(Schedule!#REF!                      : Schedule!#REF!,$O$2)</f>
        <v>#REF!</v>
      </c>
      <c r="P13" s="17" t="e">
        <f>COUNTIF(Schedule!#REF!                      : Schedule!#REF!,$P$2)</f>
        <v>#REF!</v>
      </c>
      <c r="Q13" s="17" t="e">
        <f>COUNTIF(Schedule!#REF!                     : Schedule!#REF!,$Q$2)</f>
        <v>#REF!</v>
      </c>
      <c r="R13" s="31" t="e">
        <f>COUNTIF(Schedule!#REF!                       : Schedule!#REF!,$R$2)</f>
        <v>#REF!</v>
      </c>
      <c r="S13" t="e">
        <f t="shared" si="0"/>
        <v>#REF!</v>
      </c>
      <c r="T13" t="e">
        <f t="shared" si="1"/>
        <v>#REF!</v>
      </c>
      <c r="U13" t="e">
        <f t="shared" si="2"/>
        <v>#REF!</v>
      </c>
      <c r="V13" t="e">
        <f t="shared" si="3"/>
        <v>#REF!</v>
      </c>
    </row>
    <row r="14" spans="1:22" x14ac:dyDescent="0.2">
      <c r="A14" s="29" t="s">
        <v>41</v>
      </c>
      <c r="B14" s="17" t="e">
        <f>COUNTIF(Schedule!#REF!                                                          : Schedule!#REF!,$B$2)</f>
        <v>#REF!</v>
      </c>
      <c r="C14" s="17" t="e">
        <f>COUNTIF(Schedule!#REF!                                                           : Schedule!#REF!,$C$2)</f>
        <v>#REF!</v>
      </c>
      <c r="D14" s="17" t="e">
        <f>COUNTIF(Schedule!#REF!                                                          : Schedule!#REF!,$D$2)</f>
        <v>#REF!</v>
      </c>
      <c r="E14" s="17" t="e">
        <f>COUNTIF(Schedule!#REF!                                                           : Schedule!#REF!,$E$2)</f>
        <v>#REF!</v>
      </c>
      <c r="F14" s="17" t="e">
        <f>COUNTIF(Schedule!#REF!                                                        : Schedule!#REF!,$F$2)</f>
        <v>#REF!</v>
      </c>
      <c r="G14" s="17" t="e">
        <f>COUNTIF(Schedule!#REF!                                                        : Schedule!#REF!,$G$2)</f>
        <v>#REF!</v>
      </c>
      <c r="H14" s="17" t="e">
        <f>COUNTIF(Schedule!#REF!                                                         : Schedule!#REF!,$H$2)</f>
        <v>#REF!</v>
      </c>
      <c r="I14" s="17" t="e">
        <f>COUNTIF(Schedule!#REF!                                                         : Schedule!#REF!,$I$2)</f>
        <v>#REF!</v>
      </c>
      <c r="J14" s="17" t="e">
        <f>COUNTIF(Schedule!#REF!                                                        : Schedule!#REF!,$J$2)</f>
        <v>#REF!</v>
      </c>
      <c r="K14" s="17" t="e">
        <f>COUNTIF(Schedule!#REF!                                                        : Schedule!#REF!,$K$2)</f>
        <v>#REF!</v>
      </c>
      <c r="L14" s="17" t="e">
        <f>COUNTIF(Schedule!#REF!                                                       : Schedule!#REF!,$L$2)</f>
        <v>#REF!</v>
      </c>
      <c r="M14" s="17" t="e">
        <f>COUNTIF(Schedule!#REF!                                                        : Schedule!#REF!,$M$2)</f>
        <v>#REF!</v>
      </c>
      <c r="N14" s="17" t="e">
        <f>COUNTIF(Schedule!#REF!                                                       : Schedule!#REF!,$N$2)</f>
        <v>#REF!</v>
      </c>
      <c r="O14" s="17" t="e">
        <f>COUNTIF(Schedule!#REF!                                                        : Schedule!#REF!,$O$2)</f>
        <v>#REF!</v>
      </c>
      <c r="P14" s="17" t="e">
        <f>COUNTIF(Schedule!#REF!                                                        : Schedule!#REF!,$P$2)</f>
        <v>#REF!</v>
      </c>
      <c r="Q14" s="17" t="e">
        <f>COUNTIF(Schedule!#REF!                                                       : Schedule!#REF!,$Q$2)</f>
        <v>#REF!</v>
      </c>
      <c r="R14" s="31" t="e">
        <f>COUNTIF(Schedule!#REF!                                                         : Schedule!#REF!,$R$2)</f>
        <v>#REF!</v>
      </c>
      <c r="S14" t="e">
        <f t="shared" si="0"/>
        <v>#REF!</v>
      </c>
      <c r="T14" t="e">
        <f t="shared" si="1"/>
        <v>#REF!</v>
      </c>
      <c r="U14" t="e">
        <f t="shared" si="2"/>
        <v>#REF!</v>
      </c>
      <c r="V14" t="e">
        <f t="shared" si="3"/>
        <v>#REF!</v>
      </c>
    </row>
    <row r="15" spans="1:22" s="41" customFormat="1" x14ac:dyDescent="0.2">
      <c r="A15" s="38" t="s">
        <v>42</v>
      </c>
      <c r="B15" s="39" t="e">
        <f>COUNTIF(Schedule!#REF!                                                           : Schedule!#REF!,$B$2)</f>
        <v>#REF!</v>
      </c>
      <c r="C15" s="39" t="e">
        <f>COUNTIF(Schedule!#REF!                                                               : Schedule!#REF!,$C$2)</f>
        <v>#REF!</v>
      </c>
      <c r="D15" s="39" t="e">
        <f>COUNTIF(Schedule!#REF!                                                          : Schedule!#REF!,$D$2)</f>
        <v>#REF!</v>
      </c>
      <c r="E15" s="39" t="e">
        <f>COUNTIF(Schedule!#REF!                                                           : Schedule!#REF!,$E$2)</f>
        <v>#REF!</v>
      </c>
      <c r="F15" s="39" t="e">
        <f>COUNTIF(Schedule!#REF!                                                         : Schedule!#REF!,$F$2)</f>
        <v>#REF!</v>
      </c>
      <c r="G15" s="39" t="e">
        <f>COUNTIF(Schedule!#REF!                                                         : Schedule!#REF!,$G$2)</f>
        <v>#REF!</v>
      </c>
      <c r="H15" s="39" t="e">
        <f>COUNTIF(Schedule!#REF!                                                         : Schedule!#REF!,$H$2)</f>
        <v>#REF!</v>
      </c>
      <c r="I15" s="39" t="e">
        <f>COUNTIF(Schedule!#REF!                                                         : Schedule!#REF!,$I$2)</f>
        <v>#REF!</v>
      </c>
      <c r="J15" s="39" t="e">
        <f>COUNTIF(Schedule!#REF!                                                        : Schedule!#REF!,$J$2)</f>
        <v>#REF!</v>
      </c>
      <c r="K15" s="39" t="e">
        <f>COUNTIF(Schedule!#REF!                                                        : Schedule!#REF!,$K$2)</f>
        <v>#REF!</v>
      </c>
      <c r="L15" s="39" t="e">
        <f>COUNTIF(Schedule!#REF!                                                        : Schedule!#REF!,$L$2)</f>
        <v>#REF!</v>
      </c>
      <c r="M15" s="39" t="e">
        <f>COUNTIF(Schedule!#REF!                                                        : Schedule!#REF!,$M$2)</f>
        <v>#REF!</v>
      </c>
      <c r="N15" s="39" t="e">
        <f>COUNTIF(Schedule!#REF!                                                        : Schedule!#REF!,$N$2)</f>
        <v>#REF!</v>
      </c>
      <c r="O15" s="39" t="e">
        <f>COUNTIF(Schedule!#REF!                                                      : Schedule!#REF!,$O$2)</f>
        <v>#REF!</v>
      </c>
      <c r="P15" s="39" t="e">
        <f>COUNTIF(Schedule!#REF!                                                        : Schedule!#REF!,$P$2)</f>
        <v>#REF!</v>
      </c>
      <c r="Q15" s="39" t="e">
        <f>COUNTIF(Schedule!#REF!                                                       : Schedule!#REF!,$Q$2)</f>
        <v>#REF!</v>
      </c>
      <c r="R15" s="40" t="e">
        <f>COUNTIF(Schedule!#REF!                                                         : Schedule!#REF!,$R$2)</f>
        <v>#REF!</v>
      </c>
      <c r="S15" s="41" t="e">
        <f t="shared" si="0"/>
        <v>#REF!</v>
      </c>
      <c r="T15" s="41" t="e">
        <f t="shared" si="1"/>
        <v>#REF!</v>
      </c>
      <c r="U15" s="41" t="e">
        <f t="shared" si="2"/>
        <v>#REF!</v>
      </c>
    </row>
    <row r="16" spans="1:22" s="41" customFormat="1" x14ac:dyDescent="0.2">
      <c r="A16" s="38" t="s">
        <v>43</v>
      </c>
      <c r="B16" s="39" t="e">
        <f>COUNTIF(Schedule!#REF!                        : Schedule!#REF!,$B$2)</f>
        <v>#REF!</v>
      </c>
      <c r="C16" s="39" t="e">
        <f>COUNTIF(Schedule!#REF!                          : Schedule!#REF!,$C$2)</f>
        <v>#REF!</v>
      </c>
      <c r="D16" s="39" t="e">
        <f>COUNTIF(Schedule!#REF!                        : Schedule!#REF!,$D$2)</f>
        <v>#REF!</v>
      </c>
      <c r="E16" s="39" t="e">
        <f>COUNTIF(Schedule!#REF!                       : Schedule!#REF!,$E$2)</f>
        <v>#REF!</v>
      </c>
      <c r="F16" s="39" t="e">
        <f>COUNTIF(Schedule!#REF!                       : Schedule!#REF!,$F$2)</f>
        <v>#REF!</v>
      </c>
      <c r="G16" s="39" t="e">
        <f>COUNTIF(Schedule!#REF!                       : Schedule!#REF!,$G$2)</f>
        <v>#REF!</v>
      </c>
      <c r="H16" s="39" t="e">
        <f>COUNTIF(Schedule!#REF!                       : Schedule!#REF!,$H$2)</f>
        <v>#REF!</v>
      </c>
      <c r="I16" s="39" t="e">
        <f>COUNTIF(Schedule!#REF!                       : Schedule!#REF!,$I$2)</f>
        <v>#REF!</v>
      </c>
      <c r="J16" s="39" t="e">
        <f>COUNTIF(Schedule!#REF!                      : Schedule!#REF!,$J$2)</f>
        <v>#REF!</v>
      </c>
      <c r="K16" s="39" t="e">
        <f>COUNTIF(Schedule!#REF!                      : Schedule!#REF!,$K$2)</f>
        <v>#REF!</v>
      </c>
      <c r="L16" s="39" t="e">
        <f>COUNTIF(Schedule!#REF!                     : Schedule!#REF!,$L$2)</f>
        <v>#REF!</v>
      </c>
      <c r="M16" s="39" t="e">
        <f>COUNTIF(Schedule!#REF!                      : Schedule!#REF!,$M$2)</f>
        <v>#REF!</v>
      </c>
      <c r="N16" s="39" t="e">
        <f>COUNTIF(Schedule!#REF!                      : Schedule!#REF!,$N$2)</f>
        <v>#REF!</v>
      </c>
      <c r="O16" s="39" t="e">
        <f>COUNTIF(Schedule!#REF!                      : Schedule!#REF!,$O$2)</f>
        <v>#REF!</v>
      </c>
      <c r="P16" s="39" t="e">
        <f>COUNTIF(Schedule!#REF!                      : Schedule!#REF!,$P$2)</f>
        <v>#REF!</v>
      </c>
      <c r="Q16" s="39" t="e">
        <f>COUNTIF(Schedule!#REF!                     : Schedule!#REF!,$Q$2)</f>
        <v>#REF!</v>
      </c>
      <c r="R16" s="40" t="e">
        <f>COUNTIF(Schedule!#REF!                       : Schedule!#REF!,$R$2)</f>
        <v>#REF!</v>
      </c>
      <c r="S16" s="41" t="e">
        <f t="shared" si="0"/>
        <v>#REF!</v>
      </c>
      <c r="T16" s="41" t="e">
        <f t="shared" si="1"/>
        <v>#REF!</v>
      </c>
      <c r="U16" s="41" t="e">
        <f t="shared" si="2"/>
        <v>#REF!</v>
      </c>
    </row>
    <row r="17" spans="1:21" s="41" customFormat="1" x14ac:dyDescent="0.2">
      <c r="A17" s="38" t="s">
        <v>44</v>
      </c>
      <c r="B17" s="39" t="e">
        <f>COUNTIF(Schedule!#REF!                                                          : Schedule!#REF!,$B$2)</f>
        <v>#REF!</v>
      </c>
      <c r="C17" s="39" t="e">
        <f>COUNTIF(Schedule!#REF!                                                              : Schedule!#REF!,$C$2)</f>
        <v>#REF!</v>
      </c>
      <c r="D17" s="39" t="e">
        <f>COUNTIF(Schedule!#REF!                                                          : Schedule!#REF!,$D$2)</f>
        <v>#REF!</v>
      </c>
      <c r="E17" s="39" t="e">
        <f>COUNTIF(Schedule!#REF!                                                          : Schedule!#REF!,$E$2)</f>
        <v>#REF!</v>
      </c>
      <c r="F17" s="39" t="e">
        <f>COUNTIF(Schedule!#REF!                                                        : Schedule!#REF!,$F$2)</f>
        <v>#REF!</v>
      </c>
      <c r="G17" s="39" t="e">
        <f>COUNTIF(Schedule!#REF!                                                         : Schedule!#REF!,$G$2)</f>
        <v>#REF!</v>
      </c>
      <c r="H17" s="39" t="e">
        <f>COUNTIF(Schedule!#REF!                                                        : Schedule!#REF!,$H$2)</f>
        <v>#REF!</v>
      </c>
      <c r="I17" s="39" t="e">
        <f>COUNTIF(Schedule!#REF!                                                         : Schedule!#REF!,$I$2)</f>
        <v>#REF!</v>
      </c>
      <c r="J17" s="39" t="e">
        <f>COUNTIF(Schedule!#REF!                                                        : Schedule!#REF!,$J$2)</f>
        <v>#REF!</v>
      </c>
      <c r="K17" s="39" t="e">
        <f>COUNTIF(Schedule!#REF!                                                        : Schedule!#REF!,$K$2)</f>
        <v>#REF!</v>
      </c>
      <c r="L17" s="39" t="e">
        <f>COUNTIF(Schedule!#REF!                                                        : Schedule!#REF!,$L$2)</f>
        <v>#REF!</v>
      </c>
      <c r="M17" s="39" t="e">
        <f>COUNTIF(Schedule!#REF!                                                      : Schedule!#REF!,$M$2)</f>
        <v>#REF!</v>
      </c>
      <c r="N17" s="39" t="e">
        <f>COUNTIF(Schedule!#REF!                                                        : Schedule!#REF!,$N$2)</f>
        <v>#REF!</v>
      </c>
      <c r="O17" s="39" t="e">
        <f>COUNTIF(Schedule!#REF!                                                        : Schedule!#REF!,$O$2)</f>
        <v>#REF!</v>
      </c>
      <c r="P17" s="39" t="e">
        <f>COUNTIF(Schedule!#REF!                                                       : Schedule!#REF!,$P$2)</f>
        <v>#REF!</v>
      </c>
      <c r="Q17" s="39" t="e">
        <f>COUNTIF(Schedule!#REF!                                                       : Schedule!#REF!,$Q$2)</f>
        <v>#REF!</v>
      </c>
      <c r="R17" s="40" t="e">
        <f>COUNTIF(Schedule!#REF!                                                         : Schedule!#REF!,$R$2)</f>
        <v>#REF!</v>
      </c>
      <c r="S17" s="41" t="e">
        <f t="shared" si="0"/>
        <v>#REF!</v>
      </c>
      <c r="T17" s="41" t="e">
        <f t="shared" si="1"/>
        <v>#REF!</v>
      </c>
      <c r="U17" s="41" t="e">
        <f t="shared" si="2"/>
        <v>#REF!</v>
      </c>
    </row>
    <row r="18" spans="1:21" s="41" customFormat="1" x14ac:dyDescent="0.2">
      <c r="A18" s="38" t="s">
        <v>45</v>
      </c>
      <c r="B18" s="39" t="e">
        <f>COUNTIF(Schedule!#REF!                                                          : Schedule!#REF!,$B$2)</f>
        <v>#REF!</v>
      </c>
      <c r="C18" s="39" t="e">
        <f>COUNTIF(Schedule!#REF!                                                              : Schedule!#REF!,$C$2)</f>
        <v>#REF!</v>
      </c>
      <c r="D18" s="39" t="e">
        <f>COUNTIF(Schedule!#REF!                                                          : Schedule!#REF!,$D$2)</f>
        <v>#REF!</v>
      </c>
      <c r="E18" s="39" t="e">
        <f>COUNTIF(Schedule!#REF!                                                         : Schedule!#REF!,$E$2)</f>
        <v>#REF!</v>
      </c>
      <c r="F18" s="39" t="e">
        <f>COUNTIF(Schedule!#REF!                                                         : Schedule!#REF!,$F$2)</f>
        <v>#REF!</v>
      </c>
      <c r="G18" s="39" t="e">
        <f>COUNTIF(Schedule!#REF!                                                         : Schedule!#REF!,$G$2)</f>
        <v>#REF!</v>
      </c>
      <c r="H18" s="39" t="e">
        <f>COUNTIF(Schedule!#REF!                                                         : Schedule!#REF!,$H$2)</f>
        <v>#REF!</v>
      </c>
      <c r="I18" s="39" t="e">
        <f>COUNTIF(Schedule!#REF!                                                         : Schedule!#REF!,$I$2)</f>
        <v>#REF!</v>
      </c>
      <c r="J18" s="39" t="e">
        <f>COUNTIF(Schedule!#REF!                                                        : Schedule!#REF!,$J$2)</f>
        <v>#REF!</v>
      </c>
      <c r="K18" s="39" t="e">
        <f>COUNTIF(Schedule!#REF!                                                      : Schedule!#REF!,$K$2)</f>
        <v>#REF!</v>
      </c>
      <c r="L18" s="39" t="e">
        <f>COUNTIF(Schedule!#REF!                                                       : Schedule!#REF!,$L$2)</f>
        <v>#REF!</v>
      </c>
      <c r="M18" s="39" t="e">
        <f>COUNTIF(Schedule!#REF!                                                       : Schedule!#REF!,$M$2)</f>
        <v>#REF!</v>
      </c>
      <c r="N18" s="39" t="e">
        <f>COUNTIF(Schedule!#REF!                                                       : Schedule!#REF!,$N$2)</f>
        <v>#REF!</v>
      </c>
      <c r="O18" s="39" t="e">
        <f>COUNTIF(Schedule!#REF!                                                        : Schedule!#REF!,$O$2)</f>
        <v>#REF!</v>
      </c>
      <c r="P18" s="39" t="e">
        <f>COUNTIF(Schedule!#REF!                                                        : Schedule!#REF!,$P$2)</f>
        <v>#REF!</v>
      </c>
      <c r="Q18" s="39" t="e">
        <f>COUNTIF(Schedule!#REF!                                                       : Schedule!#REF!,$Q$2)</f>
        <v>#REF!</v>
      </c>
      <c r="R18" s="40" t="e">
        <f>COUNTIF(Schedule!#REF!                                                         : Schedule!#REF!,$R$2)</f>
        <v>#REF!</v>
      </c>
      <c r="S18" s="41" t="e">
        <f t="shared" si="0"/>
        <v>#REF!</v>
      </c>
      <c r="T18" s="41" t="e">
        <f t="shared" si="1"/>
        <v>#REF!</v>
      </c>
      <c r="U18" s="41" t="e">
        <f t="shared" si="2"/>
        <v>#REF!</v>
      </c>
    </row>
    <row r="19" spans="1:21" x14ac:dyDescent="0.2">
      <c r="A19" s="29" t="s">
        <v>30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31"/>
    </row>
    <row r="20" spans="1:21" ht="16" thickBot="1" x14ac:dyDescent="0.25">
      <c r="A20" s="34" t="s">
        <v>31</v>
      </c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6"/>
    </row>
  </sheetData>
  <pageMargins left="0.7" right="0.7" top="0.75" bottom="0.75" header="0.3" footer="0.3"/>
  <pageSetup orientation="landscape" horizontalDpi="300" verticalDpi="300"/>
  <headerFooter>
    <oddFooter>&amp;R&amp;D</oddFooter>
  </headerFooter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6"/>
  <dimension ref="A1:S20"/>
  <sheetViews>
    <sheetView workbookViewId="0">
      <selection activeCell="A3" sqref="A3:XFD19"/>
    </sheetView>
  </sheetViews>
  <sheetFormatPr baseColWidth="10" defaultColWidth="8.83203125" defaultRowHeight="15" x14ac:dyDescent="0.2"/>
  <cols>
    <col min="1" max="1" width="27.33203125" customWidth="1"/>
    <col min="2" max="2" width="4.5" customWidth="1"/>
    <col min="3" max="18" width="5.6640625" customWidth="1"/>
  </cols>
  <sheetData>
    <row r="1" spans="1:19" ht="90" customHeight="1" x14ac:dyDescent="0.2">
      <c r="A1" s="23"/>
      <c r="B1" s="24" t="s">
        <v>7</v>
      </c>
      <c r="C1" s="25" t="s">
        <v>10</v>
      </c>
      <c r="D1" s="25" t="s">
        <v>12</v>
      </c>
      <c r="E1" s="26" t="s">
        <v>11</v>
      </c>
      <c r="F1" s="26" t="s">
        <v>13</v>
      </c>
      <c r="G1" s="27" t="s">
        <v>14</v>
      </c>
      <c r="H1" s="26" t="s">
        <v>8</v>
      </c>
      <c r="I1" s="26" t="s">
        <v>9</v>
      </c>
      <c r="J1" s="26" t="s">
        <v>18</v>
      </c>
      <c r="K1" s="26" t="s">
        <v>47</v>
      </c>
      <c r="L1" s="26" t="s">
        <v>17</v>
      </c>
      <c r="M1" s="26" t="s">
        <v>20</v>
      </c>
      <c r="N1" s="26" t="s">
        <v>25</v>
      </c>
      <c r="O1" s="26" t="s">
        <v>21</v>
      </c>
      <c r="P1" s="26" t="s">
        <v>55</v>
      </c>
      <c r="Q1" s="25" t="s">
        <v>54</v>
      </c>
      <c r="R1" s="28"/>
      <c r="S1" s="22"/>
    </row>
    <row r="2" spans="1:19" ht="18" x14ac:dyDescent="0.2">
      <c r="A2" s="29"/>
      <c r="B2" s="19">
        <v>0</v>
      </c>
      <c r="C2" s="20">
        <v>1</v>
      </c>
      <c r="D2" s="20">
        <v>2</v>
      </c>
      <c r="E2" s="20">
        <v>3</v>
      </c>
      <c r="F2" s="20">
        <v>4</v>
      </c>
      <c r="G2" s="20">
        <v>5</v>
      </c>
      <c r="H2" s="20">
        <v>6</v>
      </c>
      <c r="I2" s="20">
        <v>7</v>
      </c>
      <c r="J2" s="20">
        <v>8</v>
      </c>
      <c r="K2" s="20">
        <v>9</v>
      </c>
      <c r="L2" s="20">
        <v>10</v>
      </c>
      <c r="M2" s="20">
        <v>11</v>
      </c>
      <c r="N2" s="20">
        <v>12</v>
      </c>
      <c r="O2" s="20">
        <v>13</v>
      </c>
      <c r="P2" s="20">
        <v>14</v>
      </c>
      <c r="Q2" s="21">
        <v>15</v>
      </c>
      <c r="R2" s="30">
        <v>16</v>
      </c>
    </row>
    <row r="3" spans="1:19" ht="25" customHeight="1" x14ac:dyDescent="0.2">
      <c r="A3" s="29" t="s">
        <v>32</v>
      </c>
      <c r="B3" s="17"/>
      <c r="C3" s="17"/>
      <c r="D3" s="17"/>
      <c r="E3" s="17"/>
      <c r="F3" s="17"/>
      <c r="G3" s="17"/>
      <c r="H3" s="17"/>
      <c r="I3" s="17"/>
      <c r="J3" s="17"/>
      <c r="K3" s="17"/>
      <c r="L3" s="17"/>
      <c r="M3" s="17"/>
      <c r="N3" s="17"/>
      <c r="O3" s="17"/>
      <c r="P3" s="17"/>
      <c r="Q3" s="17"/>
      <c r="R3" s="17"/>
    </row>
    <row r="4" spans="1:19" ht="25" customHeight="1" x14ac:dyDescent="0.2">
      <c r="A4" s="32" t="s">
        <v>33</v>
      </c>
      <c r="B4" s="17"/>
      <c r="C4" s="17"/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</row>
    <row r="5" spans="1:19" ht="25" customHeight="1" x14ac:dyDescent="0.2">
      <c r="A5" s="32" t="s">
        <v>34</v>
      </c>
      <c r="B5" s="17"/>
      <c r="C5" s="17"/>
      <c r="D5" s="17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</row>
    <row r="6" spans="1:19" ht="25" customHeight="1" x14ac:dyDescent="0.2">
      <c r="A6" s="29" t="s">
        <v>35</v>
      </c>
      <c r="B6" s="17"/>
      <c r="C6" s="17"/>
      <c r="D6" s="17"/>
      <c r="E6" s="17"/>
      <c r="F6" s="17"/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</row>
    <row r="7" spans="1:19" ht="25" customHeight="1" x14ac:dyDescent="0.2">
      <c r="A7" s="29" t="s">
        <v>46</v>
      </c>
      <c r="B7" s="17"/>
      <c r="C7" s="17"/>
      <c r="D7" s="17"/>
      <c r="E7" s="17"/>
      <c r="F7" s="17"/>
      <c r="G7" s="17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</row>
    <row r="8" spans="1:19" ht="25" customHeight="1" x14ac:dyDescent="0.2">
      <c r="A8" s="33" t="s">
        <v>36</v>
      </c>
      <c r="B8" s="17"/>
      <c r="C8" s="17"/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</row>
    <row r="9" spans="1:19" ht="25" customHeight="1" x14ac:dyDescent="0.2">
      <c r="A9" s="29" t="s">
        <v>39</v>
      </c>
      <c r="B9" s="17"/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</row>
    <row r="10" spans="1:19" ht="25" customHeight="1" x14ac:dyDescent="0.2">
      <c r="A10" s="29" t="s">
        <v>37</v>
      </c>
      <c r="B10" s="17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  <c r="Q10" s="17"/>
      <c r="R10" s="17"/>
    </row>
    <row r="11" spans="1:19" ht="25" customHeight="1" x14ac:dyDescent="0.2">
      <c r="A11" s="29" t="s">
        <v>6</v>
      </c>
      <c r="B11" s="17"/>
      <c r="C11" s="17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/>
      <c r="R11" s="17"/>
    </row>
    <row r="12" spans="1:19" ht="25" customHeight="1" x14ac:dyDescent="0.2">
      <c r="A12" s="33" t="s">
        <v>40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</row>
    <row r="13" spans="1:19" ht="25" customHeight="1" x14ac:dyDescent="0.2">
      <c r="A13" s="29" t="s">
        <v>38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</row>
    <row r="14" spans="1:19" ht="25" customHeight="1" x14ac:dyDescent="0.2">
      <c r="A14" s="29" t="s">
        <v>41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</row>
    <row r="15" spans="1:19" ht="25" customHeight="1" x14ac:dyDescent="0.2">
      <c r="A15" s="29" t="s">
        <v>42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</row>
    <row r="16" spans="1:19" ht="25" customHeight="1" x14ac:dyDescent="0.2">
      <c r="A16" s="29" t="s">
        <v>43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</row>
    <row r="17" spans="1:18" ht="25" customHeight="1" x14ac:dyDescent="0.2">
      <c r="A17" s="29" t="s">
        <v>44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</row>
    <row r="18" spans="1:18" ht="25" customHeight="1" x14ac:dyDescent="0.2">
      <c r="A18" s="29" t="s">
        <v>45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</row>
    <row r="19" spans="1:18" ht="25" customHeight="1" x14ac:dyDescent="0.2">
      <c r="A19" s="29" t="s">
        <v>30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</row>
    <row r="20" spans="1:18" ht="18" customHeight="1" thickBot="1" x14ac:dyDescent="0.25">
      <c r="A20" s="34" t="s">
        <v>31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</row>
  </sheetData>
  <pageMargins left="0.7" right="0.7" top="0.75" bottom="0.25" header="0.3" footer="0.3"/>
  <pageSetup orientation="landscape" horizontalDpi="300" verticalDpi="300"/>
  <headerFooter>
    <oddFooter>&amp;R&amp;D</oddFooter>
  </headerFooter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15</vt:i4>
      </vt:variant>
    </vt:vector>
  </HeadingPairs>
  <TitlesOfParts>
    <vt:vector size="25" baseType="lpstr">
      <vt:lpstr>Schedule</vt:lpstr>
      <vt:lpstr>Assignment_Counter_</vt:lpstr>
      <vt:lpstr>Schedule_Checker</vt:lpstr>
      <vt:lpstr>Station_Assignments  </vt:lpstr>
      <vt:lpstr>ML_DATES2017</vt:lpstr>
      <vt:lpstr>August_Station_Assignment</vt:lpstr>
      <vt:lpstr>Assignment Dropdown_List</vt:lpstr>
      <vt:lpstr>DynamicValues</vt:lpstr>
      <vt:lpstr>Assignment_Counter</vt:lpstr>
      <vt:lpstr>Assignment_Counter blank</vt:lpstr>
      <vt:lpstr>Days</vt:lpstr>
      <vt:lpstr>Days_On</vt:lpstr>
      <vt:lpstr>N_days</vt:lpstr>
      <vt:lpstr>N_max_work_week</vt:lpstr>
      <vt:lpstr>N_min_work_week</vt:lpstr>
      <vt:lpstr>N_num_sites</vt:lpstr>
      <vt:lpstr>N_volunteers</vt:lpstr>
      <vt:lpstr>No_GM</vt:lpstr>
      <vt:lpstr>August_Station_Assignment!Print_Titles</vt:lpstr>
      <vt:lpstr>'Station_Assignments  '!Print_Titles</vt:lpstr>
      <vt:lpstr>r_days</vt:lpstr>
      <vt:lpstr>r_volunteer_names</vt:lpstr>
      <vt:lpstr>r_volunteer_schedule</vt:lpstr>
      <vt:lpstr>r_volunteers</vt:lpstr>
      <vt:lpstr>volunteers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WS2</dc:creator>
  <cp:lastModifiedBy>Pohl-Zaretsky, Gabriel Don</cp:lastModifiedBy>
  <cp:lastPrinted>2017-05-05T22:18:51Z</cp:lastPrinted>
  <dcterms:created xsi:type="dcterms:W3CDTF">2010-07-24T20:09:44Z</dcterms:created>
  <dcterms:modified xsi:type="dcterms:W3CDTF">2018-11-13T02:28:44Z</dcterms:modified>
</cp:coreProperties>
</file>